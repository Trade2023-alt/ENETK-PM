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jyescom.sharepoint.com/sites/ENETK/Shared Documents/General/####Schedules/"/>
    </mc:Choice>
  </mc:AlternateContent>
  <xr:revisionPtr revIDLastSave="14" documentId="8_{073B090D-7756-47B4-92E1-1223D4863122}" xr6:coauthVersionLast="47" xr6:coauthVersionMax="47" xr10:uidLastSave="{636D79D4-A6BD-489D-ABE3-3DAF7E2A90A9}"/>
  <bookViews>
    <workbookView xWindow="57480" yWindow="-120" windowWidth="29040" windowHeight="15720" tabRatio="500" activeTab="4" xr2:uid="{00000000-000D-0000-FFFF-FFFF00000000}"/>
  </bookViews>
  <sheets>
    <sheet name="Instructions" sheetId="1" r:id="rId1"/>
    <sheet name="Employees" sheetId="2" r:id="rId2"/>
    <sheet name="Projects" sheetId="3" r:id="rId3"/>
    <sheet name="Dropdown List (Hidden)" sheetId="6" state="hidden" r:id="rId4"/>
    <sheet name="Schedule" sheetId="4" r:id="rId5"/>
    <sheet name="Summary" sheetId="5" r:id="rId6"/>
  </sheets>
  <definedNames>
    <definedName name="_xlnm._FilterDatabase" localSheetId="2" hidden="1">Projects!$A$1:$H$39</definedName>
    <definedName name="ScheduleCodes">OFFSET(Projects!$A$2, 0, 0, MATCH("zzz", Projects!$A$2:$A$1010), 1)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35" i="3" l="1"/>
  <c r="H14" i="3"/>
  <c r="H15" i="3"/>
  <c r="H16" i="3"/>
  <c r="H17" i="3"/>
  <c r="H18" i="3"/>
  <c r="H19" i="3"/>
  <c r="H20" i="3"/>
  <c r="H21" i="3"/>
  <c r="H22" i="3"/>
  <c r="H24" i="3"/>
  <c r="H25" i="3"/>
  <c r="H26" i="3"/>
  <c r="H27" i="3"/>
  <c r="H28" i="3"/>
  <c r="H29" i="3"/>
  <c r="H30" i="3"/>
  <c r="H31" i="3"/>
  <c r="H32" i="3"/>
  <c r="H33" i="3"/>
  <c r="H34" i="3"/>
  <c r="H36" i="3"/>
  <c r="H37" i="3"/>
  <c r="H38" i="3"/>
  <c r="H39" i="3"/>
  <c r="H9" i="3"/>
  <c r="H10" i="3"/>
  <c r="H7" i="3"/>
  <c r="H8" i="3"/>
  <c r="H11" i="3"/>
  <c r="H12" i="3"/>
  <c r="H13" i="3"/>
  <c r="H204" i="5"/>
  <c r="G204" i="5"/>
  <c r="F204" i="5"/>
  <c r="E204" i="5"/>
  <c r="C204" i="5"/>
  <c r="H203" i="5"/>
  <c r="G203" i="5"/>
  <c r="F203" i="5"/>
  <c r="E203" i="5"/>
  <c r="C203" i="5"/>
  <c r="H202" i="5"/>
  <c r="G202" i="5"/>
  <c r="F202" i="5"/>
  <c r="E202" i="5"/>
  <c r="C202" i="5"/>
  <c r="H201" i="5"/>
  <c r="G201" i="5"/>
  <c r="F201" i="5"/>
  <c r="E201" i="5"/>
  <c r="C201" i="5"/>
  <c r="H200" i="5"/>
  <c r="G200" i="5"/>
  <c r="F200" i="5"/>
  <c r="E200" i="5"/>
  <c r="C200" i="5"/>
  <c r="H199" i="5"/>
  <c r="G199" i="5"/>
  <c r="F199" i="5"/>
  <c r="E199" i="5"/>
  <c r="C199" i="5"/>
  <c r="H198" i="5"/>
  <c r="G198" i="5"/>
  <c r="F198" i="5"/>
  <c r="E198" i="5"/>
  <c r="C198" i="5"/>
  <c r="H197" i="5"/>
  <c r="G197" i="5"/>
  <c r="F197" i="5"/>
  <c r="E197" i="5"/>
  <c r="C197" i="5"/>
  <c r="H196" i="5"/>
  <c r="G196" i="5"/>
  <c r="F196" i="5"/>
  <c r="E196" i="5"/>
  <c r="C196" i="5"/>
  <c r="H195" i="5"/>
  <c r="G195" i="5"/>
  <c r="F195" i="5"/>
  <c r="E195" i="5"/>
  <c r="C195" i="5"/>
  <c r="H194" i="5"/>
  <c r="G194" i="5"/>
  <c r="F194" i="5"/>
  <c r="E194" i="5"/>
  <c r="C194" i="5"/>
  <c r="H193" i="5"/>
  <c r="G193" i="5"/>
  <c r="F193" i="5"/>
  <c r="E193" i="5"/>
  <c r="C193" i="5"/>
  <c r="H192" i="5"/>
  <c r="G192" i="5"/>
  <c r="F192" i="5"/>
  <c r="E192" i="5"/>
  <c r="C192" i="5"/>
  <c r="H191" i="5"/>
  <c r="G191" i="5"/>
  <c r="F191" i="5"/>
  <c r="E191" i="5"/>
  <c r="C191" i="5"/>
  <c r="H190" i="5"/>
  <c r="G190" i="5"/>
  <c r="F190" i="5"/>
  <c r="E190" i="5"/>
  <c r="C190" i="5"/>
  <c r="H189" i="5"/>
  <c r="G189" i="5"/>
  <c r="F189" i="5"/>
  <c r="E189" i="5"/>
  <c r="C189" i="5"/>
  <c r="H188" i="5"/>
  <c r="G188" i="5"/>
  <c r="F188" i="5"/>
  <c r="E188" i="5"/>
  <c r="C188" i="5"/>
  <c r="H187" i="5"/>
  <c r="G187" i="5"/>
  <c r="F187" i="5"/>
  <c r="E187" i="5"/>
  <c r="C187" i="5"/>
  <c r="H186" i="5"/>
  <c r="G186" i="5"/>
  <c r="F186" i="5"/>
  <c r="E186" i="5"/>
  <c r="C186" i="5"/>
  <c r="H185" i="5"/>
  <c r="G185" i="5"/>
  <c r="F185" i="5"/>
  <c r="E185" i="5"/>
  <c r="C185" i="5"/>
  <c r="H184" i="5"/>
  <c r="G184" i="5"/>
  <c r="F184" i="5"/>
  <c r="E184" i="5"/>
  <c r="C184" i="5"/>
  <c r="H183" i="5"/>
  <c r="G183" i="5"/>
  <c r="F183" i="5"/>
  <c r="E183" i="5"/>
  <c r="C183" i="5"/>
  <c r="H182" i="5"/>
  <c r="G182" i="5"/>
  <c r="F182" i="5"/>
  <c r="E182" i="5"/>
  <c r="C182" i="5"/>
  <c r="H181" i="5"/>
  <c r="G181" i="5"/>
  <c r="F181" i="5"/>
  <c r="E181" i="5"/>
  <c r="C181" i="5"/>
  <c r="H180" i="5"/>
  <c r="G180" i="5"/>
  <c r="F180" i="5"/>
  <c r="E180" i="5"/>
  <c r="C180" i="5"/>
  <c r="H179" i="5"/>
  <c r="G179" i="5"/>
  <c r="F179" i="5"/>
  <c r="E179" i="5"/>
  <c r="C179" i="5"/>
  <c r="H178" i="5"/>
  <c r="G178" i="5"/>
  <c r="F178" i="5"/>
  <c r="E178" i="5"/>
  <c r="C178" i="5"/>
  <c r="H177" i="5"/>
  <c r="G177" i="5"/>
  <c r="F177" i="5"/>
  <c r="E177" i="5"/>
  <c r="C177" i="5"/>
  <c r="H176" i="5"/>
  <c r="G176" i="5"/>
  <c r="F176" i="5"/>
  <c r="E176" i="5"/>
  <c r="C176" i="5"/>
  <c r="H175" i="5"/>
  <c r="G175" i="5"/>
  <c r="F175" i="5"/>
  <c r="E175" i="5"/>
  <c r="C175" i="5"/>
  <c r="H174" i="5"/>
  <c r="G174" i="5"/>
  <c r="F174" i="5"/>
  <c r="E174" i="5"/>
  <c r="C174" i="5"/>
  <c r="H173" i="5"/>
  <c r="G173" i="5"/>
  <c r="F173" i="5"/>
  <c r="E173" i="5"/>
  <c r="C173" i="5"/>
  <c r="H172" i="5"/>
  <c r="G172" i="5"/>
  <c r="F172" i="5"/>
  <c r="E172" i="5"/>
  <c r="C172" i="5"/>
  <c r="H171" i="5"/>
  <c r="G171" i="5"/>
  <c r="F171" i="5"/>
  <c r="E171" i="5"/>
  <c r="C171" i="5"/>
  <c r="H170" i="5"/>
  <c r="G170" i="5"/>
  <c r="F170" i="5"/>
  <c r="E170" i="5"/>
  <c r="C170" i="5"/>
  <c r="H169" i="5"/>
  <c r="G169" i="5"/>
  <c r="F169" i="5"/>
  <c r="E169" i="5"/>
  <c r="C169" i="5"/>
  <c r="H168" i="5"/>
  <c r="G168" i="5"/>
  <c r="F168" i="5"/>
  <c r="E168" i="5"/>
  <c r="C168" i="5"/>
  <c r="H167" i="5"/>
  <c r="G167" i="5"/>
  <c r="F167" i="5"/>
  <c r="E167" i="5"/>
  <c r="C167" i="5"/>
  <c r="H166" i="5"/>
  <c r="G166" i="5"/>
  <c r="F166" i="5"/>
  <c r="E166" i="5"/>
  <c r="C166" i="5"/>
  <c r="H165" i="5"/>
  <c r="G165" i="5"/>
  <c r="F165" i="5"/>
  <c r="E165" i="5"/>
  <c r="C165" i="5"/>
  <c r="H164" i="5"/>
  <c r="G164" i="5"/>
  <c r="F164" i="5"/>
  <c r="E164" i="5"/>
  <c r="C164" i="5"/>
  <c r="H163" i="5"/>
  <c r="G163" i="5"/>
  <c r="F163" i="5"/>
  <c r="E163" i="5"/>
  <c r="C163" i="5"/>
  <c r="H162" i="5"/>
  <c r="G162" i="5"/>
  <c r="F162" i="5"/>
  <c r="E162" i="5"/>
  <c r="C162" i="5"/>
  <c r="H161" i="5"/>
  <c r="G161" i="5"/>
  <c r="F161" i="5"/>
  <c r="E161" i="5"/>
  <c r="C161" i="5"/>
  <c r="H160" i="5"/>
  <c r="G160" i="5"/>
  <c r="F160" i="5"/>
  <c r="E160" i="5"/>
  <c r="C160" i="5"/>
  <c r="H159" i="5"/>
  <c r="G159" i="5"/>
  <c r="F159" i="5"/>
  <c r="E159" i="5"/>
  <c r="C159" i="5"/>
  <c r="H158" i="5"/>
  <c r="G158" i="5"/>
  <c r="F158" i="5"/>
  <c r="E158" i="5"/>
  <c r="C158" i="5"/>
  <c r="H157" i="5"/>
  <c r="G157" i="5"/>
  <c r="F157" i="5"/>
  <c r="E157" i="5"/>
  <c r="C157" i="5"/>
  <c r="H156" i="5"/>
  <c r="G156" i="5"/>
  <c r="F156" i="5"/>
  <c r="E156" i="5"/>
  <c r="C156" i="5"/>
  <c r="H155" i="5"/>
  <c r="G155" i="5"/>
  <c r="F155" i="5"/>
  <c r="E155" i="5"/>
  <c r="C155" i="5"/>
  <c r="H154" i="5"/>
  <c r="G154" i="5"/>
  <c r="F154" i="5"/>
  <c r="E154" i="5"/>
  <c r="C154" i="5"/>
  <c r="H153" i="5"/>
  <c r="G153" i="5"/>
  <c r="F153" i="5"/>
  <c r="E153" i="5"/>
  <c r="C153" i="5"/>
  <c r="H152" i="5"/>
  <c r="G152" i="5"/>
  <c r="F152" i="5"/>
  <c r="E152" i="5"/>
  <c r="C152" i="5"/>
  <c r="H151" i="5"/>
  <c r="G151" i="5"/>
  <c r="F151" i="5"/>
  <c r="E151" i="5"/>
  <c r="C151" i="5"/>
  <c r="H150" i="5"/>
  <c r="G150" i="5"/>
  <c r="F150" i="5"/>
  <c r="E150" i="5"/>
  <c r="C150" i="5"/>
  <c r="H149" i="5"/>
  <c r="G149" i="5"/>
  <c r="F149" i="5"/>
  <c r="E149" i="5"/>
  <c r="C149" i="5"/>
  <c r="H148" i="5"/>
  <c r="G148" i="5"/>
  <c r="F148" i="5"/>
  <c r="E148" i="5"/>
  <c r="C148" i="5"/>
  <c r="H147" i="5"/>
  <c r="G147" i="5"/>
  <c r="F147" i="5"/>
  <c r="E147" i="5"/>
  <c r="C147" i="5"/>
  <c r="H146" i="5"/>
  <c r="G146" i="5"/>
  <c r="F146" i="5"/>
  <c r="E146" i="5"/>
  <c r="C146" i="5"/>
  <c r="H145" i="5"/>
  <c r="G145" i="5"/>
  <c r="F145" i="5"/>
  <c r="E145" i="5"/>
  <c r="C145" i="5"/>
  <c r="H144" i="5"/>
  <c r="G144" i="5"/>
  <c r="F144" i="5"/>
  <c r="E144" i="5"/>
  <c r="C144" i="5"/>
  <c r="H143" i="5"/>
  <c r="G143" i="5"/>
  <c r="F143" i="5"/>
  <c r="E143" i="5"/>
  <c r="C143" i="5"/>
  <c r="H142" i="5"/>
  <c r="G142" i="5"/>
  <c r="F142" i="5"/>
  <c r="E142" i="5"/>
  <c r="C142" i="5"/>
  <c r="H141" i="5"/>
  <c r="G141" i="5"/>
  <c r="F141" i="5"/>
  <c r="E141" i="5"/>
  <c r="C141" i="5"/>
  <c r="H140" i="5"/>
  <c r="G140" i="5"/>
  <c r="F140" i="5"/>
  <c r="E140" i="5"/>
  <c r="C140" i="5"/>
  <c r="H139" i="5"/>
  <c r="G139" i="5"/>
  <c r="F139" i="5"/>
  <c r="E139" i="5"/>
  <c r="C139" i="5"/>
  <c r="H138" i="5"/>
  <c r="G138" i="5"/>
  <c r="F138" i="5"/>
  <c r="E138" i="5"/>
  <c r="C138" i="5"/>
  <c r="H137" i="5"/>
  <c r="G137" i="5"/>
  <c r="F137" i="5"/>
  <c r="E137" i="5"/>
  <c r="C137" i="5"/>
  <c r="H136" i="5"/>
  <c r="G136" i="5"/>
  <c r="F136" i="5"/>
  <c r="E136" i="5"/>
  <c r="C136" i="5"/>
  <c r="H135" i="5"/>
  <c r="G135" i="5"/>
  <c r="F135" i="5"/>
  <c r="E135" i="5"/>
  <c r="C135" i="5"/>
  <c r="H134" i="5"/>
  <c r="G134" i="5"/>
  <c r="F134" i="5"/>
  <c r="E134" i="5"/>
  <c r="C134" i="5"/>
  <c r="H133" i="5"/>
  <c r="G133" i="5"/>
  <c r="F133" i="5"/>
  <c r="E133" i="5"/>
  <c r="C133" i="5"/>
  <c r="H132" i="5"/>
  <c r="G132" i="5"/>
  <c r="F132" i="5"/>
  <c r="E132" i="5"/>
  <c r="C132" i="5"/>
  <c r="H131" i="5"/>
  <c r="G131" i="5"/>
  <c r="F131" i="5"/>
  <c r="E131" i="5"/>
  <c r="C131" i="5"/>
  <c r="H130" i="5"/>
  <c r="G130" i="5"/>
  <c r="F130" i="5"/>
  <c r="E130" i="5"/>
  <c r="C130" i="5"/>
  <c r="H129" i="5"/>
  <c r="G129" i="5"/>
  <c r="F129" i="5"/>
  <c r="E129" i="5"/>
  <c r="C129" i="5"/>
  <c r="H128" i="5"/>
  <c r="G128" i="5"/>
  <c r="F128" i="5"/>
  <c r="E128" i="5"/>
  <c r="C128" i="5"/>
  <c r="H127" i="5"/>
  <c r="G127" i="5"/>
  <c r="F127" i="5"/>
  <c r="E127" i="5"/>
  <c r="C127" i="5"/>
  <c r="H126" i="5"/>
  <c r="G126" i="5"/>
  <c r="F126" i="5"/>
  <c r="E126" i="5"/>
  <c r="C126" i="5"/>
  <c r="H125" i="5"/>
  <c r="G125" i="5"/>
  <c r="F125" i="5"/>
  <c r="E125" i="5"/>
  <c r="C125" i="5"/>
  <c r="H124" i="5"/>
  <c r="G124" i="5"/>
  <c r="F124" i="5"/>
  <c r="E124" i="5"/>
  <c r="C124" i="5"/>
  <c r="H123" i="5"/>
  <c r="G123" i="5"/>
  <c r="F123" i="5"/>
  <c r="E123" i="5"/>
  <c r="C123" i="5"/>
  <c r="H122" i="5"/>
  <c r="G122" i="5"/>
  <c r="F122" i="5"/>
  <c r="E122" i="5"/>
  <c r="C122" i="5"/>
  <c r="H121" i="5"/>
  <c r="G121" i="5"/>
  <c r="F121" i="5"/>
  <c r="E121" i="5"/>
  <c r="C121" i="5"/>
  <c r="H120" i="5"/>
  <c r="G120" i="5"/>
  <c r="F120" i="5"/>
  <c r="E120" i="5"/>
  <c r="C120" i="5"/>
  <c r="H119" i="5"/>
  <c r="G119" i="5"/>
  <c r="F119" i="5"/>
  <c r="E119" i="5"/>
  <c r="C119" i="5"/>
  <c r="H118" i="5"/>
  <c r="G118" i="5"/>
  <c r="F118" i="5"/>
  <c r="E118" i="5"/>
  <c r="C118" i="5"/>
  <c r="H117" i="5"/>
  <c r="G117" i="5"/>
  <c r="F117" i="5"/>
  <c r="E117" i="5"/>
  <c r="C117" i="5"/>
  <c r="H116" i="5"/>
  <c r="G116" i="5"/>
  <c r="F116" i="5"/>
  <c r="E116" i="5"/>
  <c r="C116" i="5"/>
  <c r="H115" i="5"/>
  <c r="G115" i="5"/>
  <c r="F115" i="5"/>
  <c r="E115" i="5"/>
  <c r="C115" i="5"/>
  <c r="H114" i="5"/>
  <c r="G114" i="5"/>
  <c r="F114" i="5"/>
  <c r="E114" i="5"/>
  <c r="C114" i="5"/>
  <c r="H113" i="5"/>
  <c r="G113" i="5"/>
  <c r="F113" i="5"/>
  <c r="E113" i="5"/>
  <c r="C113" i="5"/>
  <c r="H112" i="5"/>
  <c r="G112" i="5"/>
  <c r="F112" i="5"/>
  <c r="E112" i="5"/>
  <c r="C112" i="5"/>
  <c r="H111" i="5"/>
  <c r="G111" i="5"/>
  <c r="F111" i="5"/>
  <c r="E111" i="5"/>
  <c r="C111" i="5"/>
  <c r="H110" i="5"/>
  <c r="G110" i="5"/>
  <c r="F110" i="5"/>
  <c r="E110" i="5"/>
  <c r="C110" i="5"/>
  <c r="H109" i="5"/>
  <c r="G109" i="5"/>
  <c r="F109" i="5"/>
  <c r="E109" i="5"/>
  <c r="C109" i="5"/>
  <c r="H108" i="5"/>
  <c r="G108" i="5"/>
  <c r="F108" i="5"/>
  <c r="E108" i="5"/>
  <c r="C108" i="5"/>
  <c r="H107" i="5"/>
  <c r="G107" i="5"/>
  <c r="F107" i="5"/>
  <c r="E107" i="5"/>
  <c r="C107" i="5"/>
  <c r="H106" i="5"/>
  <c r="G106" i="5"/>
  <c r="F106" i="5"/>
  <c r="E106" i="5"/>
  <c r="C106" i="5"/>
  <c r="H105" i="5"/>
  <c r="G105" i="5"/>
  <c r="F105" i="5"/>
  <c r="E105" i="5"/>
  <c r="C105" i="5"/>
  <c r="H104" i="5"/>
  <c r="G104" i="5"/>
  <c r="F104" i="5"/>
  <c r="E104" i="5"/>
  <c r="C104" i="5"/>
  <c r="H103" i="5"/>
  <c r="G103" i="5"/>
  <c r="F103" i="5"/>
  <c r="E103" i="5"/>
  <c r="C103" i="5"/>
  <c r="H102" i="5"/>
  <c r="G102" i="5"/>
  <c r="F102" i="5"/>
  <c r="E102" i="5"/>
  <c r="C102" i="5"/>
  <c r="H101" i="5"/>
  <c r="G101" i="5"/>
  <c r="F101" i="5"/>
  <c r="E101" i="5"/>
  <c r="C101" i="5"/>
  <c r="H100" i="5"/>
  <c r="G100" i="5"/>
  <c r="F100" i="5"/>
  <c r="E100" i="5"/>
  <c r="C100" i="5"/>
  <c r="H99" i="5"/>
  <c r="G99" i="5"/>
  <c r="F99" i="5"/>
  <c r="E99" i="5"/>
  <c r="C99" i="5"/>
  <c r="H98" i="5"/>
  <c r="G98" i="5"/>
  <c r="F98" i="5"/>
  <c r="E98" i="5"/>
  <c r="C98" i="5"/>
  <c r="H97" i="5"/>
  <c r="G97" i="5"/>
  <c r="F97" i="5"/>
  <c r="E97" i="5"/>
  <c r="C97" i="5"/>
  <c r="H96" i="5"/>
  <c r="G96" i="5"/>
  <c r="F96" i="5"/>
  <c r="E96" i="5"/>
  <c r="C96" i="5"/>
  <c r="H95" i="5"/>
  <c r="G95" i="5"/>
  <c r="F95" i="5"/>
  <c r="E95" i="5"/>
  <c r="C95" i="5"/>
  <c r="H94" i="5"/>
  <c r="G94" i="5"/>
  <c r="F94" i="5"/>
  <c r="E94" i="5"/>
  <c r="C94" i="5"/>
  <c r="H93" i="5"/>
  <c r="G93" i="5"/>
  <c r="F93" i="5"/>
  <c r="E93" i="5"/>
  <c r="C93" i="5"/>
  <c r="H92" i="5"/>
  <c r="G92" i="5"/>
  <c r="F92" i="5"/>
  <c r="E92" i="5"/>
  <c r="C92" i="5"/>
  <c r="H91" i="5"/>
  <c r="G91" i="5"/>
  <c r="F91" i="5"/>
  <c r="E91" i="5"/>
  <c r="C91" i="5"/>
  <c r="H90" i="5"/>
  <c r="G90" i="5"/>
  <c r="F90" i="5"/>
  <c r="E90" i="5"/>
  <c r="C90" i="5"/>
  <c r="H89" i="5"/>
  <c r="G89" i="5"/>
  <c r="F89" i="5"/>
  <c r="E89" i="5"/>
  <c r="C89" i="5"/>
  <c r="H88" i="5"/>
  <c r="G88" i="5"/>
  <c r="F88" i="5"/>
  <c r="E88" i="5"/>
  <c r="C88" i="5"/>
  <c r="H87" i="5"/>
  <c r="G87" i="5"/>
  <c r="F87" i="5"/>
  <c r="E87" i="5"/>
  <c r="C87" i="5"/>
  <c r="H86" i="5"/>
  <c r="G86" i="5"/>
  <c r="F86" i="5"/>
  <c r="E86" i="5"/>
  <c r="C86" i="5"/>
  <c r="H85" i="5"/>
  <c r="G85" i="5"/>
  <c r="F85" i="5"/>
  <c r="E85" i="5"/>
  <c r="C85" i="5"/>
  <c r="H84" i="5"/>
  <c r="G84" i="5"/>
  <c r="F84" i="5"/>
  <c r="E84" i="5"/>
  <c r="C84" i="5"/>
  <c r="H83" i="5"/>
  <c r="G83" i="5"/>
  <c r="F83" i="5"/>
  <c r="E83" i="5"/>
  <c r="C83" i="5"/>
  <c r="H82" i="5"/>
  <c r="G82" i="5"/>
  <c r="F82" i="5"/>
  <c r="E82" i="5"/>
  <c r="C82" i="5"/>
  <c r="H81" i="5"/>
  <c r="G81" i="5"/>
  <c r="F81" i="5"/>
  <c r="E81" i="5"/>
  <c r="C81" i="5"/>
  <c r="H80" i="5"/>
  <c r="G80" i="5"/>
  <c r="F80" i="5"/>
  <c r="E80" i="5"/>
  <c r="C80" i="5"/>
  <c r="H79" i="5"/>
  <c r="G79" i="5"/>
  <c r="F79" i="5"/>
  <c r="E79" i="5"/>
  <c r="C79" i="5"/>
  <c r="H78" i="5"/>
  <c r="G78" i="5"/>
  <c r="F78" i="5"/>
  <c r="E78" i="5"/>
  <c r="C78" i="5"/>
  <c r="H77" i="5"/>
  <c r="G77" i="5"/>
  <c r="F77" i="5"/>
  <c r="E77" i="5"/>
  <c r="C77" i="5"/>
  <c r="H76" i="5"/>
  <c r="G76" i="5"/>
  <c r="F76" i="5"/>
  <c r="E76" i="5"/>
  <c r="C76" i="5"/>
  <c r="H75" i="5"/>
  <c r="G75" i="5"/>
  <c r="F75" i="5"/>
  <c r="E75" i="5"/>
  <c r="C75" i="5"/>
  <c r="H74" i="5"/>
  <c r="G74" i="5"/>
  <c r="F74" i="5"/>
  <c r="E74" i="5"/>
  <c r="C74" i="5"/>
  <c r="H73" i="5"/>
  <c r="G73" i="5"/>
  <c r="F73" i="5"/>
  <c r="E73" i="5"/>
  <c r="C73" i="5"/>
  <c r="H72" i="5"/>
  <c r="G72" i="5"/>
  <c r="F72" i="5"/>
  <c r="E72" i="5"/>
  <c r="C72" i="5"/>
  <c r="H71" i="5"/>
  <c r="G71" i="5"/>
  <c r="F71" i="5"/>
  <c r="E71" i="5"/>
  <c r="C71" i="5"/>
  <c r="H70" i="5"/>
  <c r="G70" i="5"/>
  <c r="F70" i="5"/>
  <c r="E70" i="5"/>
  <c r="C70" i="5"/>
  <c r="H69" i="5"/>
  <c r="G69" i="5"/>
  <c r="F69" i="5"/>
  <c r="E69" i="5"/>
  <c r="C69" i="5"/>
  <c r="H68" i="5"/>
  <c r="G68" i="5"/>
  <c r="F68" i="5"/>
  <c r="E68" i="5"/>
  <c r="C68" i="5"/>
  <c r="H67" i="5"/>
  <c r="G67" i="5"/>
  <c r="F67" i="5"/>
  <c r="E67" i="5"/>
  <c r="C67" i="5"/>
  <c r="H66" i="5"/>
  <c r="G66" i="5"/>
  <c r="F66" i="5"/>
  <c r="E66" i="5"/>
  <c r="C66" i="5"/>
  <c r="H65" i="5"/>
  <c r="G65" i="5"/>
  <c r="F65" i="5"/>
  <c r="E65" i="5"/>
  <c r="C65" i="5"/>
  <c r="H64" i="5"/>
  <c r="G64" i="5"/>
  <c r="F64" i="5"/>
  <c r="E64" i="5"/>
  <c r="C64" i="5"/>
  <c r="H63" i="5"/>
  <c r="G63" i="5"/>
  <c r="F63" i="5"/>
  <c r="E63" i="5"/>
  <c r="C63" i="5"/>
  <c r="H62" i="5"/>
  <c r="G62" i="5"/>
  <c r="F62" i="5"/>
  <c r="E62" i="5"/>
  <c r="C62" i="5"/>
  <c r="H61" i="5"/>
  <c r="G61" i="5"/>
  <c r="F61" i="5"/>
  <c r="E61" i="5"/>
  <c r="C61" i="5"/>
  <c r="H60" i="5"/>
  <c r="G60" i="5"/>
  <c r="F60" i="5"/>
  <c r="E60" i="5"/>
  <c r="C60" i="5"/>
  <c r="H59" i="5"/>
  <c r="G59" i="5"/>
  <c r="F59" i="5"/>
  <c r="E59" i="5"/>
  <c r="C59" i="5"/>
  <c r="H58" i="5"/>
  <c r="G58" i="5"/>
  <c r="F58" i="5"/>
  <c r="E58" i="5"/>
  <c r="C58" i="5"/>
  <c r="H57" i="5"/>
  <c r="G57" i="5"/>
  <c r="F57" i="5"/>
  <c r="E57" i="5"/>
  <c r="C57" i="5"/>
  <c r="H56" i="5"/>
  <c r="G56" i="5"/>
  <c r="F56" i="5"/>
  <c r="E56" i="5"/>
  <c r="C56" i="5"/>
  <c r="H55" i="5"/>
  <c r="G55" i="5"/>
  <c r="F55" i="5"/>
  <c r="E55" i="5"/>
  <c r="C55" i="5"/>
  <c r="H54" i="5"/>
  <c r="G54" i="5"/>
  <c r="F54" i="5"/>
  <c r="E54" i="5"/>
  <c r="C54" i="5"/>
  <c r="H53" i="5"/>
  <c r="G53" i="5"/>
  <c r="F53" i="5"/>
  <c r="E53" i="5"/>
  <c r="C53" i="5"/>
  <c r="H52" i="5"/>
  <c r="G52" i="5"/>
  <c r="F52" i="5"/>
  <c r="E52" i="5"/>
  <c r="C52" i="5"/>
  <c r="H51" i="5"/>
  <c r="G51" i="5"/>
  <c r="F51" i="5"/>
  <c r="E51" i="5"/>
  <c r="C51" i="5"/>
  <c r="H50" i="5"/>
  <c r="G50" i="5"/>
  <c r="F50" i="5"/>
  <c r="E50" i="5"/>
  <c r="C50" i="5"/>
  <c r="H49" i="5"/>
  <c r="G49" i="5"/>
  <c r="F49" i="5"/>
  <c r="E49" i="5"/>
  <c r="C49" i="5"/>
  <c r="H48" i="5"/>
  <c r="G48" i="5"/>
  <c r="F48" i="5"/>
  <c r="E48" i="5"/>
  <c r="C48" i="5"/>
  <c r="H47" i="5"/>
  <c r="G47" i="5"/>
  <c r="F47" i="5"/>
  <c r="E47" i="5"/>
  <c r="C47" i="5"/>
  <c r="H46" i="5"/>
  <c r="G46" i="5"/>
  <c r="F46" i="5"/>
  <c r="E46" i="5"/>
  <c r="C46" i="5"/>
  <c r="H45" i="5"/>
  <c r="G45" i="5"/>
  <c r="F45" i="5"/>
  <c r="E45" i="5"/>
  <c r="C45" i="5"/>
  <c r="H44" i="5"/>
  <c r="G44" i="5"/>
  <c r="F44" i="5"/>
  <c r="E44" i="5"/>
  <c r="C44" i="5"/>
  <c r="H43" i="5"/>
  <c r="G43" i="5"/>
  <c r="F43" i="5"/>
  <c r="E43" i="5"/>
  <c r="C43" i="5"/>
  <c r="H42" i="5"/>
  <c r="G42" i="5"/>
  <c r="F42" i="5"/>
  <c r="E42" i="5"/>
  <c r="C42" i="5"/>
  <c r="H41" i="5"/>
  <c r="G41" i="5"/>
  <c r="F41" i="5"/>
  <c r="E41" i="5"/>
  <c r="C41" i="5"/>
  <c r="H40" i="5"/>
  <c r="G40" i="5"/>
  <c r="F40" i="5"/>
  <c r="E40" i="5"/>
  <c r="C40" i="5"/>
  <c r="H39" i="5"/>
  <c r="G39" i="5"/>
  <c r="F39" i="5"/>
  <c r="E39" i="5"/>
  <c r="C39" i="5"/>
  <c r="H38" i="5"/>
  <c r="G38" i="5"/>
  <c r="F38" i="5"/>
  <c r="E38" i="5"/>
  <c r="C38" i="5"/>
  <c r="H37" i="5"/>
  <c r="G37" i="5"/>
  <c r="F37" i="5"/>
  <c r="E37" i="5"/>
  <c r="C37" i="5"/>
  <c r="H36" i="5"/>
  <c r="G36" i="5"/>
  <c r="F36" i="5"/>
  <c r="E36" i="5"/>
  <c r="C36" i="5"/>
  <c r="H35" i="5"/>
  <c r="G35" i="5"/>
  <c r="F35" i="5"/>
  <c r="E35" i="5"/>
  <c r="C35" i="5"/>
  <c r="H34" i="5"/>
  <c r="G34" i="5"/>
  <c r="F34" i="5"/>
  <c r="E34" i="5"/>
  <c r="C34" i="5"/>
  <c r="H33" i="5"/>
  <c r="G33" i="5"/>
  <c r="F33" i="5"/>
  <c r="E33" i="5"/>
  <c r="C33" i="5"/>
  <c r="H32" i="5"/>
  <c r="G32" i="5"/>
  <c r="F32" i="5"/>
  <c r="E32" i="5"/>
  <c r="C32" i="5"/>
  <c r="H31" i="5"/>
  <c r="G31" i="5"/>
  <c r="F31" i="5"/>
  <c r="E31" i="5"/>
  <c r="C31" i="5"/>
  <c r="H30" i="5"/>
  <c r="G30" i="5"/>
  <c r="F30" i="5"/>
  <c r="E30" i="5"/>
  <c r="C30" i="5"/>
  <c r="H29" i="5"/>
  <c r="G29" i="5"/>
  <c r="F29" i="5"/>
  <c r="E29" i="5"/>
  <c r="C29" i="5"/>
  <c r="H28" i="5"/>
  <c r="G28" i="5"/>
  <c r="F28" i="5"/>
  <c r="E28" i="5"/>
  <c r="C28" i="5"/>
  <c r="H27" i="5"/>
  <c r="G27" i="5"/>
  <c r="F27" i="5"/>
  <c r="E27" i="5"/>
  <c r="C27" i="5"/>
  <c r="H26" i="5"/>
  <c r="G26" i="5"/>
  <c r="F26" i="5"/>
  <c r="E26" i="5"/>
  <c r="C26" i="5"/>
  <c r="H25" i="5"/>
  <c r="G25" i="5"/>
  <c r="F25" i="5"/>
  <c r="E25" i="5"/>
  <c r="C25" i="5"/>
  <c r="H24" i="5"/>
  <c r="G24" i="5"/>
  <c r="F24" i="5"/>
  <c r="E24" i="5"/>
  <c r="C24" i="5"/>
  <c r="H23" i="5"/>
  <c r="G23" i="5"/>
  <c r="F23" i="5"/>
  <c r="E23" i="5"/>
  <c r="C23" i="5"/>
  <c r="H22" i="5"/>
  <c r="G22" i="5"/>
  <c r="F22" i="5"/>
  <c r="E22" i="5"/>
  <c r="C22" i="5"/>
  <c r="H21" i="5"/>
  <c r="G21" i="5"/>
  <c r="F21" i="5"/>
  <c r="E21" i="5"/>
  <c r="C21" i="5"/>
  <c r="H20" i="5"/>
  <c r="G20" i="5"/>
  <c r="F20" i="5"/>
  <c r="E20" i="5"/>
  <c r="C20" i="5"/>
  <c r="H19" i="5"/>
  <c r="G19" i="5"/>
  <c r="F19" i="5"/>
  <c r="E19" i="5"/>
  <c r="C19" i="5"/>
  <c r="H18" i="5"/>
  <c r="G18" i="5"/>
  <c r="F18" i="5"/>
  <c r="E18" i="5"/>
  <c r="C18" i="5"/>
  <c r="H17" i="5"/>
  <c r="G17" i="5"/>
  <c r="F17" i="5"/>
  <c r="E17" i="5"/>
  <c r="C17" i="5"/>
  <c r="H16" i="5"/>
  <c r="G16" i="5"/>
  <c r="F16" i="5"/>
  <c r="E16" i="5"/>
  <c r="C16" i="5"/>
  <c r="H15" i="5"/>
  <c r="G15" i="5"/>
  <c r="F15" i="5"/>
  <c r="E15" i="5"/>
  <c r="C15" i="5"/>
  <c r="H14" i="5"/>
  <c r="G14" i="5"/>
  <c r="F14" i="5"/>
  <c r="E14" i="5"/>
  <c r="C14" i="5"/>
  <c r="H13" i="5"/>
  <c r="G13" i="5"/>
  <c r="F13" i="5"/>
  <c r="E13" i="5"/>
  <c r="C13" i="5"/>
  <c r="H12" i="5"/>
  <c r="G12" i="5"/>
  <c r="F12" i="5"/>
  <c r="E12" i="5"/>
  <c r="C12" i="5"/>
  <c r="H11" i="5"/>
  <c r="G11" i="5"/>
  <c r="F11" i="5"/>
  <c r="E11" i="5"/>
  <c r="C11" i="5"/>
  <c r="H10" i="5"/>
  <c r="G10" i="5"/>
  <c r="F10" i="5"/>
  <c r="E10" i="5"/>
  <c r="C10" i="5"/>
  <c r="H9" i="5"/>
  <c r="G9" i="5"/>
  <c r="F9" i="5"/>
  <c r="E9" i="5"/>
  <c r="C9" i="5"/>
  <c r="H8" i="5"/>
  <c r="G8" i="5"/>
  <c r="F8" i="5"/>
  <c r="E8" i="5"/>
  <c r="C8" i="5"/>
  <c r="H7" i="5"/>
  <c r="G7" i="5"/>
  <c r="F7" i="5"/>
  <c r="E7" i="5"/>
  <c r="C7" i="5"/>
  <c r="H6" i="5"/>
  <c r="G6" i="5"/>
  <c r="F6" i="5"/>
  <c r="E6" i="5"/>
  <c r="C6" i="5"/>
  <c r="H5" i="5"/>
  <c r="G5" i="5"/>
  <c r="F5" i="5"/>
  <c r="E5" i="5"/>
  <c r="C5" i="5"/>
  <c r="H3" i="3"/>
  <c r="H2" i="3"/>
  <c r="H4" i="3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F2" i="2"/>
  <c r="E2" i="2"/>
  <c r="D16" i="5" l="1"/>
  <c r="D204" i="5"/>
  <c r="D203" i="5"/>
  <c r="D202" i="5"/>
  <c r="D201" i="5"/>
  <c r="D200" i="5"/>
  <c r="D199" i="5"/>
  <c r="D171" i="5"/>
  <c r="D168" i="5"/>
  <c r="D164" i="5"/>
  <c r="D163" i="5"/>
  <c r="D161" i="5"/>
  <c r="D158" i="5"/>
  <c r="D157" i="5"/>
  <c r="D156" i="5"/>
  <c r="D154" i="5"/>
  <c r="D151" i="5"/>
  <c r="D149" i="5"/>
  <c r="D121" i="5"/>
  <c r="D118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75" i="5"/>
  <c r="D174" i="5"/>
  <c r="D167" i="5"/>
  <c r="D166" i="5"/>
  <c r="D162" i="5"/>
  <c r="D159" i="5"/>
  <c r="D155" i="5"/>
  <c r="D153" i="5"/>
  <c r="D124" i="5"/>
  <c r="D185" i="5"/>
  <c r="D184" i="5"/>
  <c r="D183" i="5"/>
  <c r="D182" i="5"/>
  <c r="D181" i="5"/>
  <c r="D180" i="5"/>
  <c r="D179" i="5"/>
  <c r="D177" i="5"/>
  <c r="D176" i="5"/>
  <c r="D173" i="5"/>
  <c r="D170" i="5"/>
  <c r="D169" i="5"/>
  <c r="D160" i="5"/>
  <c r="D152" i="5"/>
  <c r="D150" i="5"/>
  <c r="D148" i="5"/>
  <c r="D147" i="5"/>
  <c r="D129" i="5"/>
  <c r="D127" i="5"/>
  <c r="D120" i="5"/>
  <c r="D115" i="5"/>
  <c r="D178" i="5"/>
  <c r="D172" i="5"/>
  <c r="D165" i="5"/>
  <c r="D146" i="5"/>
  <c r="D145" i="5"/>
  <c r="D144" i="5"/>
  <c r="D143" i="5"/>
  <c r="D142" i="5"/>
  <c r="D141" i="5"/>
  <c r="D140" i="5"/>
  <c r="D125" i="5"/>
  <c r="D123" i="5"/>
  <c r="D119" i="5"/>
  <c r="D116" i="5"/>
  <c r="D139" i="5"/>
  <c r="D138" i="5"/>
  <c r="D137" i="5"/>
  <c r="D136" i="5"/>
  <c r="D135" i="5"/>
  <c r="D134" i="5"/>
  <c r="D133" i="5"/>
  <c r="D132" i="5"/>
  <c r="D131" i="5"/>
  <c r="D130" i="5"/>
  <c r="D128" i="5"/>
  <c r="D126" i="5"/>
  <c r="D122" i="5"/>
  <c r="D117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1" i="5"/>
  <c r="D89" i="5"/>
  <c r="D88" i="5"/>
  <c r="D92" i="5"/>
  <c r="D90" i="5"/>
  <c r="D87" i="5"/>
  <c r="D86" i="5"/>
  <c r="D85" i="5"/>
  <c r="D84" i="5"/>
  <c r="D83" i="5"/>
  <c r="D82" i="5"/>
  <c r="D1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32" i="5"/>
  <c r="D29" i="5"/>
  <c r="D24" i="5"/>
  <c r="D10" i="5"/>
  <c r="D68" i="5"/>
  <c r="D67" i="5"/>
  <c r="D66" i="5"/>
  <c r="D65" i="5"/>
  <c r="D64" i="5"/>
  <c r="D63" i="5"/>
  <c r="D62" i="5"/>
  <c r="D61" i="5"/>
  <c r="D60" i="5"/>
  <c r="D59" i="5"/>
  <c r="D20" i="5"/>
  <c r="D15" i="5"/>
  <c r="D14" i="5"/>
  <c r="D11" i="5"/>
  <c r="D58" i="5"/>
  <c r="D57" i="5"/>
  <c r="D56" i="5"/>
  <c r="D38" i="5"/>
  <c r="D37" i="5"/>
  <c r="D31" i="5"/>
  <c r="D30" i="5"/>
  <c r="D27" i="5"/>
  <c r="D26" i="5"/>
  <c r="D25" i="5"/>
  <c r="D23" i="5"/>
  <c r="D22" i="5"/>
  <c r="D21" i="5"/>
  <c r="D19" i="5"/>
  <c r="D18" i="5"/>
  <c r="D17" i="5"/>
  <c r="D13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6" i="5"/>
  <c r="D35" i="5"/>
  <c r="D34" i="5"/>
  <c r="D33" i="5"/>
  <c r="D28" i="5"/>
  <c r="D9" i="5"/>
  <c r="D8" i="5"/>
  <c r="D7" i="5"/>
  <c r="D6" i="5"/>
  <c r="D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Bruce Spencer</author>
  </authors>
  <commentList>
    <comment ref="A1" authorId="0" shapeId="0" xr:uid="{00000000-0006-0000-0300-000001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A5" authorId="0" shapeId="0" xr:uid="{00000000-0006-0000-0300-000002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A6" authorId="0" shapeId="0" xr:uid="{00000000-0006-0000-0300-000003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6" authorId="1" shapeId="0" xr:uid="{4A464718-786F-4603-ABF3-4B2FA416C0E9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D6" authorId="1" shapeId="0" xr:uid="{92188458-8AAA-428A-858A-6A18C6044E21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E6" authorId="1" shapeId="0" xr:uid="{AD85C589-ED32-4226-9417-43422C722D71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F6" authorId="1" shapeId="0" xr:uid="{A2F22106-D04E-402C-AC73-7443B10AA34B}">
      <text>
        <r>
          <rPr>
            <sz val="9"/>
            <color indexed="81"/>
            <rFont val="Tahoma"/>
            <family val="2"/>
          </rPr>
          <t>SOGC - Sinclair Oil &amp; Gas (General)  - Direct Report</t>
        </r>
      </text>
    </comment>
    <comment ref="G6" authorId="1" shapeId="0" xr:uid="{04EBA188-662F-4ED4-9772-1CEDBB5A6E8F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J6" authorId="1" shapeId="0" xr:uid="{BC206834-FDB8-471B-AA60-E56B79A4B64F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K6" authorId="1" shapeId="0" xr:uid="{D34422F8-693F-4FBD-8D6D-B0A5DC0DB803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L6" authorId="1" shapeId="0" xr:uid="{07C506F6-B698-4231-B5FE-88B1967DF1D4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M6" authorId="1" shapeId="0" xr:uid="{6CB4AB9B-CC02-47DC-A8A1-5C42A75A8105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N6" authorId="1" shapeId="0" xr:uid="{A3D408FC-A917-4932-BED3-3CC07754C57E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A7" authorId="0" shapeId="0" xr:uid="{00000000-0006-0000-0300-000004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7" authorId="1" shapeId="0" xr:uid="{CE016AF0-5E3D-4F2A-AED0-9CBCBAC4BB80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D7" authorId="1" shapeId="0" xr:uid="{C1CAED91-D66F-48FC-915B-FF7B833EE579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E7" authorId="1" shapeId="0" xr:uid="{B207F877-D257-4649-BE65-4101924AF4FA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F7" authorId="1" shapeId="0" xr:uid="{3C7F5664-F7FD-4E83-8312-CDA9D5668997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G7" authorId="1" shapeId="0" xr:uid="{5FA8ADA6-2400-4CB0-BDD9-085A9ACD40F4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J7" authorId="1" shapeId="0" xr:uid="{15638167-3CF0-4104-8A67-3411F978DEC2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K7" authorId="1" shapeId="0" xr:uid="{408EF256-10C2-4C18-8501-AF1D89BD83B3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L7" authorId="1" shapeId="0" xr:uid="{6BF8F13B-7745-4C9F-B04D-56D13533D182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M7" authorId="1" shapeId="0" xr:uid="{48CA7909-B9EB-4844-A677-3CCE55D37750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N7" authorId="1" shapeId="0" xr:uid="{80359865-A4BC-4BB9-85FD-C66F29B0FFF2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A8" authorId="0" shapeId="0" xr:uid="{00000000-0006-0000-0300-000005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8" authorId="1" shapeId="0" xr:uid="{8CA61B89-80CA-461A-90D1-16F75F8F39F6}">
      <text>
        <r>
          <rPr>
            <sz val="9"/>
            <color indexed="81"/>
            <rFont val="Tahoma"/>
            <family val="2"/>
          </rPr>
          <t>PETRO - Petrohunt SCADA Optix / Wonderware Replace</t>
        </r>
      </text>
    </comment>
    <comment ref="D8" authorId="1" shapeId="0" xr:uid="{0799FEFA-A19A-434F-B6B6-31187737B519}">
      <text>
        <r>
          <rPr>
            <sz val="9"/>
            <color indexed="81"/>
            <rFont val="Tahoma"/>
            <family val="2"/>
          </rPr>
          <t>PETRO - Petrohunt SCADA Optix / Wonderware Replace</t>
        </r>
      </text>
    </comment>
    <comment ref="M8" authorId="1" shapeId="0" xr:uid="{D466FFED-821E-435A-A82B-46B0B7E05B52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N8" authorId="1" shapeId="0" xr:uid="{D16B332D-B05C-4B34-A19D-1EE5EE5B03EF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Q8" authorId="1" shapeId="0" xr:uid="{A47C5C7F-6B47-40CA-A104-C5E3D4AF316C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R8" authorId="1" shapeId="0" xr:uid="{9B7AC82F-9E24-4036-A274-A66F658D856A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S8" authorId="1" shapeId="0" xr:uid="{5C9C5EA8-4087-4A1F-BFA0-C2DFDC8BDB0C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T8" authorId="1" shapeId="0" xr:uid="{73664A69-5688-4720-A94B-040DDC3C906C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X8" authorId="1" shapeId="0" xr:uid="{D5B153E2-4772-47A6-8EE0-675A1203C993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A9" authorId="0" shapeId="0" xr:uid="{00000000-0006-0000-0300-000006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9" authorId="1" shapeId="0" xr:uid="{9907BE06-3165-48E1-86A9-728AE3E268E6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D9" authorId="1" shapeId="0" xr:uid="{5004A273-665F-422C-9C29-826560FA0FBA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E9" authorId="1" shapeId="0" xr:uid="{72FC9103-3861-44E4-8D57-7D7570937A0C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F9" authorId="1" shapeId="0" xr:uid="{FBB73AAB-7BFA-41BF-BD78-93347CAEA9C9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G9" authorId="1" shapeId="0" xr:uid="{EFE5A34E-3E4E-49DF-9D82-3E967FC55015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J9" authorId="1" shapeId="0" xr:uid="{C9FEA722-7390-4B6C-B027-8AF80B23767A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K9" authorId="1" shapeId="0" xr:uid="{55803812-4B7A-4AC4-8631-DF250B0B35FB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L9" authorId="1" shapeId="0" xr:uid="{31B51EF3-7688-49C9-ACCF-9E570651ADDE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M9" authorId="1" shapeId="0" xr:uid="{75E60065-D370-419B-ACE7-E807426A7466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N9" authorId="1" shapeId="0" xr:uid="{E02F3642-ED22-4BE7-9DDB-CAAB993B0E7B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Q9" authorId="1" shapeId="0" xr:uid="{F071AF91-0E91-45EA-9E2B-69FDB4FD2B12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R9" authorId="1" shapeId="0" xr:uid="{B143565B-DADC-42BA-8873-D18F77148E82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S9" authorId="1" shapeId="0" xr:uid="{4B0A74C0-9AD1-4851-B793-AD14C7624BEB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T9" authorId="1" shapeId="0" xr:uid="{3FA077C1-D07E-4EB1-8677-FB65267F4A76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A10" authorId="0" shapeId="0" xr:uid="{00000000-0006-0000-0300-000007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0" authorId="1" shapeId="0" xr:uid="{1647CABA-A4A7-4F0D-9395-580332F9BF8E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D10" authorId="1" shapeId="0" xr:uid="{18668EC3-0CB7-4E0A-9CEF-E95CA0DCFBF4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E10" authorId="1" shapeId="0" xr:uid="{925865B7-0E71-4E41-BB32-E0A59009233F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F10" authorId="1" shapeId="0" xr:uid="{7DDC1258-1822-4233-8DBD-A3F875D857FE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G10" authorId="1" shapeId="0" xr:uid="{A28BFB6C-6DD6-45AC-B6C6-6BDD874980E2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L10" authorId="1" shapeId="0" xr:uid="{BD5A1508-BA85-4BB6-BAC6-D01388FFFA16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M10" authorId="1" shapeId="0" xr:uid="{9DAA75A7-9832-4A3D-B4EA-C2355960304C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N10" authorId="1" shapeId="0" xr:uid="{68A7FEA5-8B91-41C7-A65C-434B3B36E6D8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A11" authorId="0" shapeId="0" xr:uid="{00000000-0006-0000-0300-000008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1" authorId="1" shapeId="0" xr:uid="{0182ABC4-5DD0-4E40-B8E1-B3BB96428AF2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D11" authorId="1" shapeId="0" xr:uid="{67FA7C8C-B5E0-4E27-9FAA-D799E6D75289}">
      <text>
        <r>
          <rPr>
            <sz val="9"/>
            <color indexed="81"/>
            <rFont val="Tahoma"/>
            <family val="2"/>
          </rPr>
          <t>ENETK-HR - ENETK - HR/Interviews</t>
        </r>
      </text>
    </comment>
    <comment ref="E11" authorId="1" shapeId="0" xr:uid="{39F48324-36BD-41EE-9A8E-182671AB3CE6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F11" authorId="1" shapeId="0" xr:uid="{909B748A-EB47-4DE2-9192-2511C2D1864C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G11" authorId="1" shapeId="0" xr:uid="{79A93AA0-21E4-4884-923F-F7F00C51AA3D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J11" authorId="1" shapeId="0" xr:uid="{C2CF3E70-AFDE-46AC-9F7C-4DBECE9E412E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K11" authorId="1" shapeId="0" xr:uid="{336AACA2-3F3F-4EAC-AAE4-017419646235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L11" authorId="1" shapeId="0" xr:uid="{95CFB4B9-9C18-4A2E-9417-B04035C08CDF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A12" authorId="0" shapeId="0" xr:uid="{00000000-0006-0000-0300-000009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2" authorId="1" shapeId="0" xr:uid="{ABCB078C-27AB-4C21-9495-3935AAB866D4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D12" authorId="1" shapeId="0" xr:uid="{8A0B66D6-07C7-4F9D-AA34-1C7D7C1583F6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E12" authorId="1" shapeId="0" xr:uid="{E365642D-3727-4D2A-86F1-4448603255BC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F12" authorId="1" shapeId="0" xr:uid="{E95CBB5E-1883-415C-BD40-08458A75C2FA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G12" authorId="1" shapeId="0" xr:uid="{5F892F1C-A344-4DCC-85E1-0894020FDA03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J12" authorId="1" shapeId="0" xr:uid="{25EEB266-68FD-41C2-B8FA-24D5ED9F6A17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K12" authorId="1" shapeId="0" xr:uid="{7BEBD3B6-1E92-4FE9-8E0B-04681CBDA000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L12" authorId="1" shapeId="0" xr:uid="{7D9C79C5-F9D5-4F87-911A-CA8A0625EFA5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M12" authorId="1" shapeId="0" xr:uid="{7569F5BB-86DC-4B7C-96A4-D8279965400C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N12" authorId="1" shapeId="0" xr:uid="{1BFEB22A-B2FF-4179-85A8-92E30B1F0AB2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Q12" authorId="1" shapeId="0" xr:uid="{81D665E8-760F-490D-AB7B-DE27D6F1483A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R12" authorId="1" shapeId="0" xr:uid="{244BE995-B878-48FF-B4E3-1BD5E4410BAB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S12" authorId="1" shapeId="0" xr:uid="{D7B1AEE2-E5E8-4E58-82AD-CA37F4BBBF03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T12" authorId="1" shapeId="0" xr:uid="{7DC38FC8-43C9-480E-9159-003C9B71BBE0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U12" authorId="1" shapeId="0" xr:uid="{3B219FE0-5164-4778-B11E-DEBDB169884B}">
      <text>
        <r>
          <rPr>
            <sz val="9"/>
            <color indexed="81"/>
            <rFont val="Tahoma"/>
            <family val="2"/>
          </rPr>
          <t>HOL - Holiday</t>
        </r>
      </text>
    </comment>
    <comment ref="X12" authorId="1" shapeId="0" xr:uid="{05721CD9-C22D-401C-9FE2-BE9A40AA6EDB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Y12" authorId="1" shapeId="0" xr:uid="{932ED821-5705-4CF0-838D-5F44785037BA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Z12" authorId="1" shapeId="0" xr:uid="{F56D8CEC-4040-48FC-8F18-8A4ED4B3AE0E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AA12" authorId="1" shapeId="0" xr:uid="{41A33448-0DA3-4FA4-A6AC-66564371E7FA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AB12" authorId="1" shapeId="0" xr:uid="{378AC46C-2336-4D1D-876A-D8E30BEEB04C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AE12" authorId="1" shapeId="0" xr:uid="{985BD838-2F36-4EA7-BF3E-141ADDD34CE4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AF12" authorId="1" shapeId="0" xr:uid="{A21CD985-8301-4A41-A1AF-EFFB1A940C0B}">
      <text>
        <r>
          <rPr>
            <sz val="9"/>
            <color indexed="81"/>
            <rFont val="Tahoma"/>
            <family val="2"/>
          </rPr>
          <t>OGKE - ONEOK Keene C&amp;E</t>
        </r>
      </text>
    </comment>
    <comment ref="AG12" authorId="1" shapeId="0" xr:uid="{AB2FD7E6-1F7F-4826-B531-7D23DCABF032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AH12" authorId="1" shapeId="0" xr:uid="{813E2B52-E91B-4C66-8D94-2AD64E98C955}">
      <text>
        <r>
          <rPr>
            <sz val="9"/>
            <color indexed="81"/>
            <rFont val="Tahoma"/>
            <family val="2"/>
          </rPr>
          <t>OGKE - ONEOK Keene C&amp;E</t>
        </r>
      </text>
    </comment>
    <comment ref="AI12" authorId="1" shapeId="0" xr:uid="{86FF2463-7B87-469C-A5B4-F23982FD3CEE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A13" authorId="0" shapeId="0" xr:uid="{00000000-0006-0000-0300-00000A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3" authorId="1" shapeId="0" xr:uid="{5BEEC646-BE92-4AF8-988B-02C1235F0C73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D13" authorId="1" shapeId="0" xr:uid="{8B41602F-2205-4F28-A700-18E27DFF6ED0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E13" authorId="1" shapeId="0" xr:uid="{61E34A8A-A5F3-481B-8B43-F358A2C96753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F13" authorId="1" shapeId="0" xr:uid="{E62B3687-A8CD-4D94-A2A3-9F4299CA2093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G13" authorId="1" shapeId="0" xr:uid="{A9E297B4-9454-4DCD-A5BB-420157127B03}">
      <text>
        <r>
          <rPr>
            <sz val="9"/>
            <color indexed="81"/>
            <rFont val="Tahoma"/>
            <family val="2"/>
          </rPr>
          <t>VAC - Vacation</t>
        </r>
      </text>
    </comment>
    <comment ref="J13" authorId="1" shapeId="0" xr:uid="{41E9F456-A4F0-4AA2-9993-D7B04E5AD52B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K13" authorId="1" shapeId="0" xr:uid="{EA5B6469-1EB5-4F16-BD0F-3171D2AE070B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L13" authorId="1" shapeId="0" xr:uid="{7D7459AB-3325-4A32-B463-B90336644E16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M13" authorId="1" shapeId="0" xr:uid="{238B32BB-89D2-41E0-8C2C-D51C7B45514C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N13" authorId="1" shapeId="0" xr:uid="{8DBDD266-3DB7-4A97-8613-C21949ACABD6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A14" authorId="0" shapeId="0" xr:uid="{00000000-0006-0000-0300-00000B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4" authorId="1" shapeId="0" xr:uid="{6E2A248E-F202-410F-94AB-5806BFD9A25A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D14" authorId="1" shapeId="0" xr:uid="{978C9C3D-5FA4-418D-A5E9-6806C0E7FBB7}">
      <text>
        <r>
          <rPr>
            <sz val="9"/>
            <color indexed="81"/>
            <rFont val="Tahoma"/>
            <family val="2"/>
          </rPr>
          <t>VAC - Vacation</t>
        </r>
      </text>
    </comment>
    <comment ref="E14" authorId="1" shapeId="0" xr:uid="{0A663406-480B-458C-85F7-2EA6580392D1}">
      <text>
        <r>
          <rPr>
            <sz val="9"/>
            <color indexed="81"/>
            <rFont val="Tahoma"/>
            <family val="2"/>
          </rPr>
          <t>VAC - Vacation</t>
        </r>
      </text>
    </comment>
    <comment ref="G14" authorId="1" shapeId="0" xr:uid="{502B0C5A-DB30-4845-9872-41BD0A41DDAF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J14" authorId="1" shapeId="0" xr:uid="{6BC37FD6-B439-4B23-AE3A-9C8CA1F8B413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K14" authorId="1" shapeId="0" xr:uid="{D561400D-80B5-4EDF-A439-2957BE864A61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L14" authorId="1" shapeId="0" xr:uid="{F00B179D-756B-4990-AB86-9CF10340D1C0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M14" authorId="1" shapeId="0" xr:uid="{15823D42-19B3-45D7-A10A-213183C59AD7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N14" authorId="1" shapeId="0" xr:uid="{B3DE8278-8AEE-4541-A2E0-B70C11B7A7C9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Q14" authorId="1" shapeId="0" xr:uid="{490CBA7D-67A0-48D8-871A-6793848F27A8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R14" authorId="1" shapeId="0" xr:uid="{4B038739-1D80-4666-8BA5-B45E3151F334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S14" authorId="1" shapeId="0" xr:uid="{85D4F836-E5EF-4BB8-B35F-494459DF2DBB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T14" authorId="1" shapeId="0" xr:uid="{DE23BC9F-19B9-486B-9E26-93214681329B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A15" authorId="0" shapeId="0" xr:uid="{00000000-0006-0000-0300-00000C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5" authorId="1" shapeId="0" xr:uid="{4E321B4E-BDCF-4B53-ADA2-DB48F2D96AA0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D15" authorId="1" shapeId="0" xr:uid="{A0F9BA97-806E-4A5B-A3E5-78C7EB0B34BB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E15" authorId="1" shapeId="0" xr:uid="{38055C09-5570-45F2-9BEB-6856EA5C3233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F15" authorId="1" shapeId="0" xr:uid="{0D0D2B17-519A-4044-95C5-8D547FCC06ED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G15" authorId="1" shapeId="0" xr:uid="{CDACD453-2B42-4E3A-A22F-829F9A2B0B1C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J15" authorId="1" shapeId="0" xr:uid="{201A2D87-2119-4C48-A767-268F1EFA96CA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K15" authorId="1" shapeId="0" xr:uid="{84461CAF-8C85-489A-8822-E7A07204BAD2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L15" authorId="1" shapeId="0" xr:uid="{91544EB8-195B-40F3-AE8A-5A0A6AAF2F2F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M15" authorId="1" shapeId="0" xr:uid="{34127C9A-5EE7-4EB3-855A-880D47439BC4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Q15" authorId="1" shapeId="0" xr:uid="{BFAC6DCA-5FEC-4919-B40F-020921893F35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R15" authorId="1" shapeId="0" xr:uid="{1C375C20-522A-4F52-97E7-87F173576B56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S15" authorId="1" shapeId="0" xr:uid="{4FE481AB-1C69-4F18-AF1E-4BBC55772740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T15" authorId="1" shapeId="0" xr:uid="{5D685927-FB82-4552-B1E4-4D7091BD0522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</commentList>
</comments>
</file>

<file path=xl/sharedStrings.xml><?xml version="1.0" encoding="utf-8"?>
<sst xmlns="http://schemas.openxmlformats.org/spreadsheetml/2006/main" count="925" uniqueCount="225">
  <si>
    <t>ENETK Daily Schedule  —  How to use this workbook</t>
  </si>
  <si>
    <t>This workbook shows, for every employee, what they are working on each day — and who is free.</t>
  </si>
  <si>
    <t>The daily grid runs from Jun 15, 2026 (Monday of the current week) through Dec 31, 2026.</t>
  </si>
  <si>
    <t>TABS</t>
  </si>
  <si>
    <t xml:space="preserve">  •  Schedule  — the main grid. Rows = employees, columns = days. Type in the cells.</t>
  </si>
  <si>
    <t xml:space="preserve">  •  Summary   — auto-counts of who is Available / Busy / Out for each day. Nothing to fill in.</t>
  </si>
  <si>
    <t xml:space="preserve">  •  Employees — the master roster. Add or remove people here.</t>
  </si>
  <si>
    <t xml:space="preserve">  •  Projects  — the master project list and the dropdown codes.</t>
  </si>
  <si>
    <t>HOW TO FILL IN THE SCHEDULE</t>
  </si>
  <si>
    <t xml:space="preserve">  •  Click any day cell and either pick a code from the dropdown or just type freely.</t>
  </si>
  <si>
    <t xml:space="preserve">  •  You can enter more than one project or a note in a cell, e.g.  "KBS-PNL + finish wiring".</t>
  </si>
  <si>
    <t xml:space="preserve">  •  Leave a weekday blank to mark that person AVAILABLE (it turns green).</t>
  </si>
  <si>
    <t xml:space="preserve">  •  Type a status code to mark time off:  VAC = vacation,  HOL = holiday,  SICK = out,  TRN = training.</t>
  </si>
  <si>
    <t>COLOR KEY  (applied automatically)</t>
  </si>
  <si>
    <t xml:space="preserve">  •  Green  = Available (empty weekday)</t>
  </si>
  <si>
    <t xml:space="preserve">  •  Tan    = Busy / on a project (any text that isn't a status)</t>
  </si>
  <si>
    <t xml:space="preserve">  •  Blue   = Vacation (cell contains VAC)</t>
  </si>
  <si>
    <t xml:space="preserve">  •  Red    = Holiday (cell contains HOL)</t>
  </si>
  <si>
    <t xml:space="preserve">  •  Yellow = Sick / Out (cell contains SICK)</t>
  </si>
  <si>
    <t xml:space="preserve">  •  Purple = Training (cell contains TRN)</t>
  </si>
  <si>
    <t xml:space="preserve">  •  Gray   = Weekend (Sat/Sun, marked for you)</t>
  </si>
  <si>
    <t>NOTES</t>
  </si>
  <si>
    <t xml:space="preserve">  •  Common 2026 holidays (July 3, Labor Day, Thanksgiving, Christmas) are pre-filled as HOL.</t>
  </si>
  <si>
    <t xml:space="preserve">  •  To change the people or projects, edit the Employees / Projects tabs — the dropdown updates with them.</t>
  </si>
  <si>
    <t xml:space="preserve">  •  Add a new person: type them on the Employees tab, then add a matching row on the Schedule tab.</t>
  </si>
  <si>
    <t>WHAT'S NEW IN THIS VERSION</t>
  </si>
  <si>
    <t xml:space="preserve">  •  Employees tab: Person-Days Available = working days not on vacation/holiday/sick/training (weekends excluded).</t>
  </si>
  <si>
    <t xml:space="preserve">  •  Employees tab: Person-Days Scheduled = days assigned to a project. (Free days = Available - Scheduled.)</t>
  </si>
  <si>
    <t xml:space="preserve">  •  Projects tab: the dropdown list (col L) now mirrors the Code column - edit a Code and the Schedule dropdown updates.</t>
  </si>
  <si>
    <t xml:space="preserve">  •  Schedule: day columns widened so full codes show; hover any employee name to see the full code legend.</t>
  </si>
  <si>
    <t>TRUE PER-CELL HOVER (optional macro)</t>
  </si>
  <si>
    <t xml:space="preserve">  Excel can't natively pop a code's description from a free-text cell. To get that, add the small macro from the chat</t>
  </si>
  <si>
    <t xml:space="preserve">  (Developer &gt; Visual Basic &gt; paste into the Schedule sheet), then save as .xlsm. Hovering a cell will then show its code's meaning.</t>
  </si>
  <si>
    <t>Employee</t>
  </si>
  <si>
    <t>Role</t>
  </si>
  <si>
    <t>Has Truck</t>
  </si>
  <si>
    <t>Truck #</t>
  </si>
  <si>
    <t>Person-Days Available</t>
  </si>
  <si>
    <t>Person-Days Scheduled</t>
  </si>
  <si>
    <t>Notes</t>
  </si>
  <si>
    <t>Kyle Merrill</t>
  </si>
  <si>
    <t>Senior System Integrator</t>
  </si>
  <si>
    <t>Yes</t>
  </si>
  <si>
    <t>5855</t>
  </si>
  <si>
    <t>Seth Peterson</t>
  </si>
  <si>
    <t>System Integrator</t>
  </si>
  <si>
    <t>5790</t>
  </si>
  <si>
    <t>Loren McCray</t>
  </si>
  <si>
    <t>I&amp;E Technician</t>
  </si>
  <si>
    <t>5305</t>
  </si>
  <si>
    <t>Rami Dori</t>
  </si>
  <si>
    <t>I&amp;E Engineer</t>
  </si>
  <si>
    <t>1210</t>
  </si>
  <si>
    <t>Cole Kadrmas</t>
  </si>
  <si>
    <t>4252</t>
  </si>
  <si>
    <t>Dustin Howe</t>
  </si>
  <si>
    <t>Bruce Spencer III</t>
  </si>
  <si>
    <t>Kolina Shantz</t>
  </si>
  <si>
    <t>Jackson King</t>
  </si>
  <si>
    <t>Apprentice</t>
  </si>
  <si>
    <t>Amos Madhombiro</t>
  </si>
  <si>
    <t>Bryan Holst</t>
  </si>
  <si>
    <t>Code</t>
  </si>
  <si>
    <t>Project</t>
  </si>
  <si>
    <t>Customer / Area</t>
  </si>
  <si>
    <t>Confirmed/Potential</t>
  </si>
  <si>
    <t>Job Number</t>
  </si>
  <si>
    <t>Person-days Budgeted</t>
  </si>
  <si>
    <t>Person-Days Actual</t>
  </si>
  <si>
    <t>Person-days scheduled</t>
  </si>
  <si>
    <t>DropdownList2</t>
  </si>
  <si>
    <t>PANEL</t>
  </si>
  <si>
    <t>Panel Shop / Drafting / Prefab / Instrumentation</t>
  </si>
  <si>
    <t>Shop</t>
  </si>
  <si>
    <t>Confirmed</t>
  </si>
  <si>
    <t>Iron Works Dual / Tripack Control Panels</t>
  </si>
  <si>
    <t>Iron Works</t>
  </si>
  <si>
    <t>Potential</t>
  </si>
  <si>
    <t>KBS-PNL</t>
  </si>
  <si>
    <t>KBS Panel Builds</t>
  </si>
  <si>
    <t>KBS</t>
  </si>
  <si>
    <t>Finished</t>
  </si>
  <si>
    <t>LLR</t>
  </si>
  <si>
    <t>LLR Panel Build</t>
  </si>
  <si>
    <t>COD-IGN</t>
  </si>
  <si>
    <t>City of Dickinson - Ignition / Wonderware Replace</t>
  </si>
  <si>
    <t>City of Dickinson</t>
  </si>
  <si>
    <t>PETRO</t>
  </si>
  <si>
    <t>Petrohunt SCADA Optix / Wonderware Replace</t>
  </si>
  <si>
    <t>Petrohunt</t>
  </si>
  <si>
    <t>GV-COSS</t>
  </si>
  <si>
    <t>Gevo Optix COSS Programming</t>
  </si>
  <si>
    <t>Gevo</t>
  </si>
  <si>
    <t>GV-RO</t>
  </si>
  <si>
    <t>Gevo Optix RO Programming</t>
  </si>
  <si>
    <t>GV-UF</t>
  </si>
  <si>
    <t>Gevo Optix UF Programming</t>
  </si>
  <si>
    <t>GV-CENT</t>
  </si>
  <si>
    <t>Gevo Optix Centrifuge Programming</t>
  </si>
  <si>
    <t>GV-RTO</t>
  </si>
  <si>
    <t>Gevo Optix RTO Programming</t>
  </si>
  <si>
    <t>GV-FLARE</t>
  </si>
  <si>
    <t>Gevo Optix Flare Programming</t>
  </si>
  <si>
    <t>ONEOK Garden Creek C&amp;E</t>
  </si>
  <si>
    <t>ONEOK</t>
  </si>
  <si>
    <t>GV-MAINT</t>
  </si>
  <si>
    <t>Gevo Maintenance</t>
  </si>
  <si>
    <t>Dakota Midstream</t>
  </si>
  <si>
    <t>SOGC</t>
  </si>
  <si>
    <t>SVC</t>
  </si>
  <si>
    <t>Service &amp; Maintenance</t>
  </si>
  <si>
    <t>Various</t>
  </si>
  <si>
    <t>TURBINE</t>
  </si>
  <si>
    <t>Turbine Project</t>
  </si>
  <si>
    <t>Chord</t>
  </si>
  <si>
    <t>COD</t>
  </si>
  <si>
    <t>City of Dickinson (general)</t>
  </si>
  <si>
    <t>MANDAREE</t>
  </si>
  <si>
    <t>Mandaree Water Treatment Plant</t>
  </si>
  <si>
    <t>Mandaree</t>
  </si>
  <si>
    <t>SHOP-CAM</t>
  </si>
  <si>
    <t>Shop Work - Cameras</t>
  </si>
  <si>
    <t>VAC</t>
  </si>
  <si>
    <t>Vacation</t>
  </si>
  <si>
    <t>HOL</t>
  </si>
  <si>
    <t>Holiday</t>
  </si>
  <si>
    <t>SICK</t>
  </si>
  <si>
    <t>Sick / Out</t>
  </si>
  <si>
    <t>TRN</t>
  </si>
  <si>
    <t>Training</t>
  </si>
  <si>
    <t>June 2026</t>
  </si>
  <si>
    <t>July 2026</t>
  </si>
  <si>
    <t>August 2026</t>
  </si>
  <si>
    <t>September 2026</t>
  </si>
  <si>
    <t>October 2026</t>
  </si>
  <si>
    <t>November 2026</t>
  </si>
  <si>
    <t>December 2026</t>
  </si>
  <si>
    <t>wk 06/21</t>
  </si>
  <si>
    <t>wk 06/28</t>
  </si>
  <si>
    <t>wk 07/05</t>
  </si>
  <si>
    <t>wk 07/12</t>
  </si>
  <si>
    <t>wk 07/19</t>
  </si>
  <si>
    <t>wk 07/26</t>
  </si>
  <si>
    <t>wk 08/02</t>
  </si>
  <si>
    <t>wk 08/09</t>
  </si>
  <si>
    <t>wk 08/16</t>
  </si>
  <si>
    <t>wk 08/23</t>
  </si>
  <si>
    <t>wk 08/30</t>
  </si>
  <si>
    <t>wk 09/06</t>
  </si>
  <si>
    <t>wk 09/13</t>
  </si>
  <si>
    <t>wk 09/20</t>
  </si>
  <si>
    <t>wk 09/27</t>
  </si>
  <si>
    <t>wk 10/04</t>
  </si>
  <si>
    <t>wk 10/11</t>
  </si>
  <si>
    <t>wk 10/18</t>
  </si>
  <si>
    <t>wk 10/25</t>
  </si>
  <si>
    <t>wk 11/01</t>
  </si>
  <si>
    <t>wk 11/08</t>
  </si>
  <si>
    <t>wk 11/15</t>
  </si>
  <si>
    <t>wk 11/22</t>
  </si>
  <si>
    <t>wk 11/29</t>
  </si>
  <si>
    <t>wk 12/06</t>
  </si>
  <si>
    <t>wk 12/13</t>
  </si>
  <si>
    <t>wk 12/20</t>
  </si>
  <si>
    <t>wk 12/27</t>
  </si>
  <si>
    <t>wk 12/31</t>
  </si>
  <si>
    <t>M</t>
  </si>
  <si>
    <t>T</t>
  </si>
  <si>
    <t>W</t>
  </si>
  <si>
    <t>F</t>
  </si>
  <si>
    <t>S</t>
  </si>
  <si>
    <t>Bruce Spencer</t>
  </si>
  <si>
    <t>Daily availability summary</t>
  </si>
  <si>
    <t>Counts pull live from the Schedule tab.</t>
  </si>
  <si>
    <t>Date</t>
  </si>
  <si>
    <t>Day</t>
  </si>
  <si>
    <t>Available</t>
  </si>
  <si>
    <t>Busy (project)</t>
  </si>
  <si>
    <t>Sick</t>
  </si>
  <si>
    <t>Total people</t>
  </si>
  <si>
    <t>OGKE</t>
  </si>
  <si>
    <t>ONEOK Keene C&amp;E</t>
  </si>
  <si>
    <t>SOGC-MAINT</t>
  </si>
  <si>
    <t>DMC-FIBER</t>
  </si>
  <si>
    <t>CHORD-MAINT</t>
  </si>
  <si>
    <t>Chord (Maintenance) - Direct Report</t>
  </si>
  <si>
    <t>Gevo (general) - Direct Report</t>
  </si>
  <si>
    <t>Sinclair Oil &amp; Gas (General)  - Direct Report</t>
  </si>
  <si>
    <t>Sinclair Oil &amp; Gas (Maintenance) - Direct Report</t>
  </si>
  <si>
    <t>ONEOK-GC</t>
  </si>
  <si>
    <t>ONEOK-KE</t>
  </si>
  <si>
    <t>IRONWK-PNL</t>
  </si>
  <si>
    <t>LLR-PNL</t>
  </si>
  <si>
    <t>DMC-COUG</t>
  </si>
  <si>
    <t>DMC-CLR</t>
  </si>
  <si>
    <t>Dakota Midstream - Cougar Fiber Project</t>
  </si>
  <si>
    <t>GV</t>
  </si>
  <si>
    <t>GV-TURBINE</t>
  </si>
  <si>
    <t>Gevo Optix Turbine Programming</t>
  </si>
  <si>
    <t>ENETK-HR</t>
  </si>
  <si>
    <t>ENETK - HR/Interviews</t>
  </si>
  <si>
    <t>ENETK</t>
  </si>
  <si>
    <t>KBS-FL</t>
  </si>
  <si>
    <t>KBS Programming Work in Florida</t>
  </si>
  <si>
    <t>Gevo Debottlenecking Panel Build</t>
  </si>
  <si>
    <t>GV-DEBOT-PNL</t>
  </si>
  <si>
    <t>GV-GRIND</t>
  </si>
  <si>
    <t>Gevo Grind Structure</t>
  </si>
  <si>
    <t>COD-H2S</t>
  </si>
  <si>
    <t>City of Dickinson - H2S Additions</t>
  </si>
  <si>
    <t>COD-PLC</t>
  </si>
  <si>
    <t>City of Dickinson - PLC Retrofits</t>
  </si>
  <si>
    <t>Shared</t>
  </si>
  <si>
    <t>FISHER-PNL</t>
  </si>
  <si>
    <t>Fisher Sand &amp; Gravel - Panel Fixes</t>
  </si>
  <si>
    <t>Fisher Sand &amp; Gravel</t>
  </si>
  <si>
    <t>SHOP-GFCI</t>
  </si>
  <si>
    <t>Shop Work - Replace Normal Outlets With GFCI</t>
  </si>
  <si>
    <t>SHOP-BADGE</t>
  </si>
  <si>
    <t>Shop Work - Install 2 Badge Readers</t>
  </si>
  <si>
    <t>SHOP-WEB</t>
  </si>
  <si>
    <t>Shop Work - Fix Website</t>
  </si>
  <si>
    <t>Kolina Schantz</t>
  </si>
  <si>
    <t>KBS-AMZN</t>
  </si>
  <si>
    <t>KBS Modbus Support at Amazon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</si>
</sst>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2" x14ac:knownFonts="1">
    <font>
      <sz val="11"/>
      <color theme="1"/>
      <name val="Calibri"/>
      <family val="2"/>
      <charset val="1"/>
    </font>
    <font>
      <b/>
      <sz val="16"/>
      <color rgb="FF1F3864"/>
      <name val="Arial"/>
      <family val="2"/>
    </font>
    <font>
      <sz val="11"/>
      <name val="Arial"/>
      <family val="2"/>
    </font>
    <font>
      <b/>
      <sz val="12"/>
      <color rgb="FF1F3864"/>
      <name val="Arial"/>
      <family val="2"/>
    </font>
    <font>
      <b/>
      <sz val="11"/>
      <color rgb="FFFFFFFF"/>
      <name val="Arial"/>
      <family val="2"/>
    </font>
    <font>
      <b/>
      <sz val="11"/>
      <color rgb="FFFFFFFF"/>
      <name val="Arial"/>
      <family val="2"/>
      <charset val="1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FFFFFF"/>
      <name val="Arial"/>
      <family val="2"/>
    </font>
    <font>
      <sz val="8"/>
      <color rgb="FF000000"/>
      <name val="Arial"/>
      <family val="2"/>
    </font>
    <font>
      <b/>
      <sz val="9"/>
      <color rgb="FFFFFFFF"/>
      <name val="Arial"/>
      <family val="2"/>
    </font>
    <font>
      <sz val="8"/>
      <color rgb="FFFFFFFF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4"/>
      <color rgb="FF1F3864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8EAADB"/>
        <bgColor rgb="FF969696"/>
      </patternFill>
    </fill>
    <fill>
      <patternFill patternType="solid">
        <fgColor rgb="FFD9E1F2"/>
        <bgColor rgb="FFE4DFEC"/>
      </patternFill>
    </fill>
    <fill>
      <patternFill patternType="solid">
        <fgColor rgb="FFBDD7EE"/>
        <bgColor rgb="FFD9D9D9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7" fillId="0" borderId="1" xfId="0" applyFont="1" applyBorder="1"/>
    <xf numFmtId="0" fontId="12" fillId="2" borderId="5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7" fillId="0" borderId="0" xfId="0" applyFont="1"/>
    <xf numFmtId="0" fontId="18" fillId="0" borderId="0" xfId="0" applyFont="1"/>
    <xf numFmtId="164" fontId="14" fillId="0" borderId="1" xfId="0" applyNumberFormat="1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FCE4D6"/>
        </patternFill>
      </fill>
    </dxf>
    <dxf>
      <fill>
        <patternFill>
          <bgColor rgb="FFC6EFCE"/>
        </patternFill>
      </fill>
    </dxf>
    <dxf>
      <fill>
        <patternFill>
          <bgColor rgb="FFD9D9D9"/>
        </patternFill>
      </fill>
    </dxf>
    <dxf>
      <fill>
        <patternFill>
          <bgColor rgb="FFE4DFEC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BDD7EE"/>
        </patternFill>
      </fill>
    </dxf>
    <dxf>
      <font>
        <color theme="1"/>
      </font>
      <fill>
        <patternFill>
          <bgColor rgb="FFCCCC00"/>
        </patternFill>
      </fill>
    </dxf>
    <dxf>
      <font>
        <color theme="1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8EAADB"/>
      <rgbColor rgb="FF993366"/>
      <rgbColor rgb="FFFCE4D6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4DFEC"/>
      <rgbColor rgb="FFC6EFCE"/>
      <rgbColor rgb="FFFFEB9C"/>
      <rgbColor rgb="FFD9D9D9"/>
      <rgbColor rgb="FFFF99CC"/>
      <rgbColor rgb="FFCC99FF"/>
      <rgbColor rgb="FFFFC7CE"/>
      <rgbColor rgb="FF3366FF"/>
      <rgbColor rgb="FF33CCCC"/>
      <rgbColor rgb="FFCC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42"/>
  <sheetViews>
    <sheetView showGridLines="0" zoomScaleNormal="100" workbookViewId="0"/>
  </sheetViews>
  <sheetFormatPr defaultColWidth="8.7109375" defaultRowHeight="15" x14ac:dyDescent="0.25"/>
  <cols>
    <col min="1" max="1" width="3" customWidth="1"/>
    <col min="2" max="2" width="100" customWidth="1"/>
  </cols>
  <sheetData>
    <row r="2" spans="2:2" ht="20.25" customHeight="1" x14ac:dyDescent="0.3">
      <c r="B2" s="1" t="s">
        <v>0</v>
      </c>
    </row>
    <row r="4" spans="2:2" ht="15" customHeight="1" x14ac:dyDescent="0.25">
      <c r="B4" s="2"/>
    </row>
    <row r="5" spans="2:2" ht="15" customHeight="1" x14ac:dyDescent="0.25">
      <c r="B5" s="2" t="s">
        <v>1</v>
      </c>
    </row>
    <row r="6" spans="2:2" ht="15" customHeight="1" x14ac:dyDescent="0.25">
      <c r="B6" s="2" t="s">
        <v>2</v>
      </c>
    </row>
    <row r="7" spans="2:2" ht="15" customHeight="1" x14ac:dyDescent="0.25">
      <c r="B7" s="2"/>
    </row>
    <row r="8" spans="2:2" ht="15.75" customHeight="1" x14ac:dyDescent="0.25">
      <c r="B8" s="3" t="s">
        <v>3</v>
      </c>
    </row>
    <row r="9" spans="2:2" ht="15" customHeight="1" x14ac:dyDescent="0.25">
      <c r="B9" s="2" t="s">
        <v>4</v>
      </c>
    </row>
    <row r="10" spans="2:2" ht="15" customHeight="1" x14ac:dyDescent="0.25">
      <c r="B10" s="2" t="s">
        <v>5</v>
      </c>
    </row>
    <row r="11" spans="2:2" ht="15" customHeight="1" x14ac:dyDescent="0.25">
      <c r="B11" s="2" t="s">
        <v>6</v>
      </c>
    </row>
    <row r="12" spans="2:2" ht="15" customHeight="1" x14ac:dyDescent="0.25">
      <c r="B12" s="2" t="s">
        <v>7</v>
      </c>
    </row>
    <row r="13" spans="2:2" ht="15" customHeight="1" x14ac:dyDescent="0.25">
      <c r="B13" s="2"/>
    </row>
    <row r="14" spans="2:2" ht="15.75" customHeight="1" x14ac:dyDescent="0.25">
      <c r="B14" s="3" t="s">
        <v>8</v>
      </c>
    </row>
    <row r="15" spans="2:2" ht="15" customHeight="1" x14ac:dyDescent="0.25">
      <c r="B15" s="2" t="s">
        <v>9</v>
      </c>
    </row>
    <row r="16" spans="2:2" ht="15" customHeight="1" x14ac:dyDescent="0.25">
      <c r="B16" s="2" t="s">
        <v>10</v>
      </c>
    </row>
    <row r="17" spans="2:2" ht="15" customHeight="1" x14ac:dyDescent="0.25">
      <c r="B17" s="2" t="s">
        <v>11</v>
      </c>
    </row>
    <row r="18" spans="2:2" ht="15" customHeight="1" x14ac:dyDescent="0.25">
      <c r="B18" s="2" t="s">
        <v>12</v>
      </c>
    </row>
    <row r="19" spans="2:2" ht="15" customHeight="1" x14ac:dyDescent="0.25">
      <c r="B19" s="2"/>
    </row>
    <row r="20" spans="2:2" ht="15.75" customHeight="1" x14ac:dyDescent="0.25">
      <c r="B20" s="3" t="s">
        <v>13</v>
      </c>
    </row>
    <row r="21" spans="2:2" ht="15" customHeight="1" x14ac:dyDescent="0.25">
      <c r="B21" s="2" t="s">
        <v>14</v>
      </c>
    </row>
    <row r="22" spans="2:2" ht="15" customHeight="1" x14ac:dyDescent="0.25">
      <c r="B22" s="2" t="s">
        <v>15</v>
      </c>
    </row>
    <row r="23" spans="2:2" ht="15" customHeight="1" x14ac:dyDescent="0.25">
      <c r="B23" s="2" t="s">
        <v>16</v>
      </c>
    </row>
    <row r="24" spans="2:2" ht="15" customHeight="1" x14ac:dyDescent="0.25">
      <c r="B24" s="2" t="s">
        <v>17</v>
      </c>
    </row>
    <row r="25" spans="2:2" ht="15" customHeight="1" x14ac:dyDescent="0.25">
      <c r="B25" s="2" t="s">
        <v>18</v>
      </c>
    </row>
    <row r="26" spans="2:2" ht="15" customHeight="1" x14ac:dyDescent="0.25">
      <c r="B26" s="2" t="s">
        <v>19</v>
      </c>
    </row>
    <row r="27" spans="2:2" ht="15" customHeight="1" x14ac:dyDescent="0.25">
      <c r="B27" s="2" t="s">
        <v>20</v>
      </c>
    </row>
    <row r="28" spans="2:2" ht="15" customHeight="1" x14ac:dyDescent="0.25">
      <c r="B28" s="2"/>
    </row>
    <row r="29" spans="2:2" ht="15.75" customHeight="1" x14ac:dyDescent="0.25">
      <c r="B29" s="3" t="s">
        <v>21</v>
      </c>
    </row>
    <row r="30" spans="2:2" ht="15" customHeight="1" x14ac:dyDescent="0.25">
      <c r="B30" s="2" t="s">
        <v>22</v>
      </c>
    </row>
    <row r="31" spans="2:2" ht="15" customHeight="1" x14ac:dyDescent="0.25">
      <c r="B31" s="2" t="s">
        <v>23</v>
      </c>
    </row>
    <row r="32" spans="2:2" ht="15" customHeight="1" x14ac:dyDescent="0.25">
      <c r="B32" s="2" t="s">
        <v>24</v>
      </c>
    </row>
    <row r="34" spans="2:2" ht="15" customHeight="1" x14ac:dyDescent="0.25">
      <c r="B34" s="3" t="s">
        <v>25</v>
      </c>
    </row>
    <row r="35" spans="2:2" ht="15" customHeight="1" x14ac:dyDescent="0.25">
      <c r="B35" s="2" t="s">
        <v>26</v>
      </c>
    </row>
    <row r="36" spans="2:2" ht="15" customHeight="1" x14ac:dyDescent="0.25">
      <c r="B36" s="2" t="s">
        <v>27</v>
      </c>
    </row>
    <row r="37" spans="2:2" ht="15" customHeight="1" x14ac:dyDescent="0.25">
      <c r="B37" s="2" t="s">
        <v>28</v>
      </c>
    </row>
    <row r="38" spans="2:2" ht="15" customHeight="1" x14ac:dyDescent="0.25">
      <c r="B38" s="2" t="s">
        <v>29</v>
      </c>
    </row>
    <row r="39" spans="2:2" ht="15" customHeight="1" x14ac:dyDescent="0.25">
      <c r="B39" s="2"/>
    </row>
    <row r="40" spans="2:2" ht="15" customHeight="1" x14ac:dyDescent="0.25">
      <c r="B40" s="3" t="s">
        <v>30</v>
      </c>
    </row>
    <row r="41" spans="2:2" ht="15" customHeight="1" x14ac:dyDescent="0.25">
      <c r="B41" s="2" t="s">
        <v>31</v>
      </c>
    </row>
    <row r="42" spans="2:2" ht="15" customHeight="1" x14ac:dyDescent="0.25">
      <c r="B42" s="2" t="s">
        <v>32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showGridLines="0" zoomScaleNormal="100" workbookViewId="0">
      <pane ySplit="1" topLeftCell="A2" activePane="bottomLeft" state="frozen"/>
      <selection pane="bottomLeft" activeCell="E7" sqref="E7"/>
    </sheetView>
  </sheetViews>
  <sheetFormatPr defaultColWidth="8.7109375" defaultRowHeight="15" x14ac:dyDescent="0.25"/>
  <cols>
    <col min="1" max="2" width="22" customWidth="1"/>
    <col min="3" max="3" width="11" customWidth="1"/>
    <col min="4" max="4" width="10" customWidth="1"/>
    <col min="5" max="5" width="13.7109375" customWidth="1"/>
    <col min="6" max="6" width="15.7109375" customWidth="1"/>
    <col min="7" max="7" width="30" customWidth="1"/>
  </cols>
  <sheetData>
    <row r="1" spans="1:7" ht="45" customHeight="1" x14ac:dyDescent="0.25">
      <c r="A1" s="4" t="s">
        <v>33</v>
      </c>
      <c r="B1" s="4" t="s">
        <v>34</v>
      </c>
      <c r="C1" s="4" t="s">
        <v>35</v>
      </c>
      <c r="D1" s="4" t="s">
        <v>36</v>
      </c>
      <c r="E1" s="5" t="s">
        <v>37</v>
      </c>
      <c r="F1" s="5" t="s">
        <v>38</v>
      </c>
      <c r="G1" s="4" t="s">
        <v>39</v>
      </c>
    </row>
    <row r="2" spans="1:7" ht="15" customHeight="1" x14ac:dyDescent="0.25">
      <c r="A2" s="6" t="s">
        <v>40</v>
      </c>
      <c r="B2" s="7" t="s">
        <v>41</v>
      </c>
      <c r="C2" s="8" t="s">
        <v>42</v>
      </c>
      <c r="D2" s="8" t="s">
        <v>43</v>
      </c>
      <c r="E2" s="8">
        <f>SUMPRODUCT((Schedule!$C$4:$GT$4&lt;&gt;"S")*((ISNUMBER(SEARCH("VAC",Schedule!$C$5:$GT$5))+ISNUMBER(SEARCH("HOL",Schedule!$C$5:$GT$5))+ISNUMBER(SEARCH("SICK",Schedule!$C$5:$GT$5))+ISNUMBER(SEARCH("TRN",Schedule!$C$5:$GT$5)))=0))</f>
        <v>139</v>
      </c>
      <c r="F2" s="8">
        <f>COUNTA(Schedule!$C$5:$GT$5)-COUNTIF(Schedule!$C$5:$GT$5,"*VAC*")-COUNTIF(Schedule!$C$5:$GT$5,"*HOL*")-COUNTIF(Schedule!$C$5:$GT$5,"*SICK*")-COUNTIF(Schedule!$C$5:$GT$5,"*TRN*")</f>
        <v>0</v>
      </c>
      <c r="G2" s="7"/>
    </row>
    <row r="3" spans="1:7" ht="15" customHeight="1" x14ac:dyDescent="0.25">
      <c r="A3" s="6" t="s">
        <v>44</v>
      </c>
      <c r="B3" s="9" t="s">
        <v>45</v>
      </c>
      <c r="C3" s="8" t="s">
        <v>42</v>
      </c>
      <c r="D3" s="8" t="s">
        <v>46</v>
      </c>
      <c r="E3" s="8">
        <f>SUMPRODUCT((Schedule!$C$4:$GT$4&lt;&gt;"S")*((ISNUMBER(SEARCH("VAC",Schedule!$C$6:$GT$6))+ISNUMBER(SEARCH("HOL",Schedule!$C$6:$GT$6))+ISNUMBER(SEARCH("SICK",Schedule!$C$6:$GT$6))+ISNUMBER(SEARCH("TRN",Schedule!$C$6:$GT$6)))=0))</f>
        <v>139</v>
      </c>
      <c r="F3" s="8">
        <f>COUNTA(Schedule!$C$6:$GT$6)-COUNTIF(Schedule!$C$6:$GT$6,"*VAC*")-COUNTIF(Schedule!$C$6:$GT$6,"*HOL*")-COUNTIF(Schedule!$C$6:$GT$6,"*SICK*")-COUNTIF(Schedule!$C$6:$GT$6,"*TRN*")</f>
        <v>10</v>
      </c>
      <c r="G3" s="7"/>
    </row>
    <row r="4" spans="1:7" ht="15" customHeight="1" x14ac:dyDescent="0.25">
      <c r="A4" s="6" t="s">
        <v>47</v>
      </c>
      <c r="B4" s="9" t="s">
        <v>48</v>
      </c>
      <c r="C4" s="8" t="s">
        <v>42</v>
      </c>
      <c r="D4" s="8" t="s">
        <v>49</v>
      </c>
      <c r="E4" s="8">
        <f>SUMPRODUCT((Schedule!$C$4:$GT$4&lt;&gt;"S")*((ISNUMBER(SEARCH("VAC",Schedule!$C$7:$GT$7))+ISNUMBER(SEARCH("HOL",Schedule!$C$7:$GT$7))+ISNUMBER(SEARCH("SICK",Schedule!$C$7:$GT$7))+ISNUMBER(SEARCH("TRN",Schedule!$C$7:$GT$7)))=0))</f>
        <v>139</v>
      </c>
      <c r="F4" s="8">
        <f>COUNTA(Schedule!$C$7:$GT$7)-COUNTIF(Schedule!$C$7:$GT$7,"*VAC*")-COUNTIF(Schedule!$C$7:$GT$7,"*HOL*")-COUNTIF(Schedule!$C$7:$GT$7,"*SICK*")-COUNTIF(Schedule!$C$7:$GT$7,"*TRN*")</f>
        <v>10</v>
      </c>
      <c r="G4" s="7"/>
    </row>
    <row r="5" spans="1:7" ht="15" customHeight="1" x14ac:dyDescent="0.25">
      <c r="A5" s="6" t="s">
        <v>50</v>
      </c>
      <c r="B5" s="9" t="s">
        <v>51</v>
      </c>
      <c r="C5" s="26" t="s">
        <v>212</v>
      </c>
      <c r="D5" s="8" t="s">
        <v>52</v>
      </c>
      <c r="E5" s="8">
        <f>SUMPRODUCT((Schedule!$C$4:$GT$4&lt;&gt;"S")*((ISNUMBER(SEARCH("VAC",Schedule!$C$8:$GT$8))+ISNUMBER(SEARCH("HOL",Schedule!$C$8:$GT$8))+ISNUMBER(SEARCH("SICK",Schedule!$C$8:$GT$8))+ISNUMBER(SEARCH("TRN",Schedule!$C$8:$GT$8)))=0))</f>
        <v>135</v>
      </c>
      <c r="F5" s="8">
        <f>COUNTA(Schedule!$C$8:$GT$8)-COUNTIF(Schedule!$C$8:$GT$8,"*VAC*")-COUNTIF(Schedule!$C$8:$GT$8,"*HOL*")-COUNTIF(Schedule!$C$8:$GT$8,"*SICK*")-COUNTIF(Schedule!$C$8:$GT$8,"*TRN*")</f>
        <v>10</v>
      </c>
      <c r="G5" s="7"/>
    </row>
    <row r="6" spans="1:7" ht="15" customHeight="1" x14ac:dyDescent="0.25">
      <c r="A6" s="6" t="s">
        <v>53</v>
      </c>
      <c r="B6" s="9" t="s">
        <v>48</v>
      </c>
      <c r="C6" s="26" t="s">
        <v>212</v>
      </c>
      <c r="D6" s="8" t="s">
        <v>54</v>
      </c>
      <c r="E6" s="8">
        <f>SUMPRODUCT((Schedule!$C$4:$GT$4&lt;&gt;"S")*((ISNUMBER(SEARCH("VAC",Schedule!$C$9:$GT$9))+ISNUMBER(SEARCH("HOL",Schedule!$C$9:$GT$9))+ISNUMBER(SEARCH("SICK",Schedule!$C$9:$GT$9))+ISNUMBER(SEARCH("TRN",Schedule!$C$9:$GT$9)))=0))</f>
        <v>139</v>
      </c>
      <c r="F6" s="8">
        <f>COUNTA(Schedule!$C$9:$GT$9)-COUNTIF(Schedule!$C$9:$GT$9,"*VAC*")-COUNTIF(Schedule!$C$9:$GT$9,"*HOL*")-COUNTIF(Schedule!$C$9:$GT$9,"*SICK*")-COUNTIF(Schedule!$C$9:$GT$9,"*TRN*")</f>
        <v>14</v>
      </c>
      <c r="G6" s="7"/>
    </row>
    <row r="7" spans="1:7" ht="15" customHeight="1" x14ac:dyDescent="0.25">
      <c r="A7" s="6" t="s">
        <v>55</v>
      </c>
      <c r="B7" s="9" t="s">
        <v>48</v>
      </c>
      <c r="C7" s="26" t="s">
        <v>42</v>
      </c>
      <c r="D7" s="26">
        <v>7283</v>
      </c>
      <c r="E7" s="8">
        <f>SUMPRODUCT((Schedule!$C$4:$GT$4&lt;&gt;"S")*((ISNUMBER(SEARCH("VAC",Schedule!$C$10:$GT$10))+ISNUMBER(SEARCH("HOL",Schedule!$C$10:$GT$10))+ISNUMBER(SEARCH("SICK",Schedule!$C$10:$GT$10))+ISNUMBER(SEARCH("TRN",Schedule!$C$10:$GT$10)))=0))</f>
        <v>139</v>
      </c>
      <c r="F7" s="8">
        <f>COUNTA(Schedule!$C$10:$GT$10)-COUNTIF(Schedule!$C$10:$GT$10,"*VAC*")-COUNTIF(Schedule!$C$10:$GT$10,"*HOL*")-COUNTIF(Schedule!$C$10:$GT$10,"*SICK*")-COUNTIF(Schedule!$C$10:$GT$10,"*TRN*")</f>
        <v>10</v>
      </c>
      <c r="G7" s="7"/>
    </row>
    <row r="8" spans="1:7" ht="15" customHeight="1" x14ac:dyDescent="0.25">
      <c r="A8" s="6" t="s">
        <v>56</v>
      </c>
      <c r="B8" s="9" t="s">
        <v>45</v>
      </c>
      <c r="C8" s="26" t="s">
        <v>212</v>
      </c>
      <c r="D8" s="8" t="s">
        <v>52</v>
      </c>
      <c r="E8" s="8">
        <f>SUMPRODUCT((Schedule!$C$4:$GT$4&lt;&gt;"S")*((ISNUMBER(SEARCH("VAC",Schedule!$C$11:$GT$11))+ISNUMBER(SEARCH("HOL",Schedule!$C$11:$GT$11))+ISNUMBER(SEARCH("SICK",Schedule!$C$11:$GT$11))+ISNUMBER(SEARCH("TRN",Schedule!$C$11:$GT$11)))=0))</f>
        <v>120</v>
      </c>
      <c r="F8" s="8">
        <f>COUNTA(Schedule!$C$11:$GT$11)-COUNTIF(Schedule!$C$11:$GT$11,"*VAC*")-COUNTIF(Schedule!$C$11:$GT$11,"*HOL*")-COUNTIF(Schedule!$C$11:$GT$11,"*SICK*")-COUNTIF(Schedule!$C$11:$GT$11,"*TRN*")</f>
        <v>8</v>
      </c>
      <c r="G8" s="7"/>
    </row>
    <row r="9" spans="1:7" ht="15" customHeight="1" x14ac:dyDescent="0.25">
      <c r="A9" s="6" t="s">
        <v>57</v>
      </c>
      <c r="B9" s="9" t="s">
        <v>48</v>
      </c>
      <c r="C9" s="26" t="s">
        <v>42</v>
      </c>
      <c r="D9" s="8">
        <v>1212</v>
      </c>
      <c r="E9" s="8">
        <f>SUMPRODUCT((Schedule!$C$4:$GT$4&lt;&gt;"S")*((ISNUMBER(SEARCH("VAC",Schedule!$C$12:$GT$12))+ISNUMBER(SEARCH("HOL",Schedule!$C$12:$GT$12))+ISNUMBER(SEARCH("SICK",Schedule!$C$12:$GT$12))+ISNUMBER(SEARCH("TRN",Schedule!$C$12:$GT$12)))=0))</f>
        <v>139</v>
      </c>
      <c r="F9" s="8">
        <f>COUNTA(Schedule!$C$12:$GT$12)-COUNTIF(Schedule!$C$12:$GT$12,"*VAC*")-COUNTIF(Schedule!$C$12:$GT$12,"*HOL*")-COUNTIF(Schedule!$C$12:$GT$12,"*SICK*")-COUNTIF(Schedule!$C$12:$GT$12,"*TRN*")</f>
        <v>24</v>
      </c>
      <c r="G9" s="7"/>
    </row>
    <row r="10" spans="1:7" ht="15" customHeight="1" x14ac:dyDescent="0.25">
      <c r="A10" s="6" t="s">
        <v>58</v>
      </c>
      <c r="B10" s="7" t="s">
        <v>59</v>
      </c>
      <c r="C10" s="26" t="s">
        <v>212</v>
      </c>
      <c r="D10" s="8">
        <v>1210</v>
      </c>
      <c r="E10" s="8">
        <f>SUMPRODUCT((Schedule!$C$4:$GT$4&lt;&gt;"S")*((ISNUMBER(SEARCH("VAC",Schedule!$C$13:$GT$13))+ISNUMBER(SEARCH("HOL",Schedule!$C$13:$GT$13))+ISNUMBER(SEARCH("SICK",Schedule!$C$13:$GT$13))+ISNUMBER(SEARCH("TRN",Schedule!$C$13:$GT$13)))=0))</f>
        <v>138</v>
      </c>
      <c r="F10" s="8">
        <f>COUNTA(Schedule!$C$13:$GT$13)-COUNTIF(Schedule!$C$13:$GT$13,"*VAC*")-COUNTIF(Schedule!$C$13:$GT$13,"*HOL*")-COUNTIF(Schedule!$C$13:$GT$13,"*SICK*")-COUNTIF(Schedule!$C$13:$GT$13,"*TRN*")</f>
        <v>9</v>
      </c>
      <c r="G10" s="7"/>
    </row>
    <row r="11" spans="1:7" ht="15" customHeight="1" x14ac:dyDescent="0.25">
      <c r="A11" s="6" t="s">
        <v>60</v>
      </c>
      <c r="B11" s="9" t="s">
        <v>48</v>
      </c>
      <c r="C11" s="26" t="s">
        <v>212</v>
      </c>
      <c r="D11" s="8">
        <v>1210</v>
      </c>
      <c r="E11" s="8">
        <f>SUMPRODUCT((Schedule!$C$4:$GT$4&lt;&gt;"S")*((ISNUMBER(SEARCH("VAC",Schedule!$C$14:$GT$14))+ISNUMBER(SEARCH("HOL",Schedule!$C$14:$GT$14))+ISNUMBER(SEARCH("SICK",Schedule!$C$14:$GT$14))+ISNUMBER(SEARCH("TRN",Schedule!$C$14:$GT$14)))=0))</f>
        <v>137</v>
      </c>
      <c r="F11" s="8">
        <f>COUNTA(Schedule!$C$14:$GT$14)-COUNTIF(Schedule!$C$14:$GT$14,"*VAC*")-COUNTIF(Schedule!$C$14:$GT$14,"*HOL*")-COUNTIF(Schedule!$C$14:$GT$14,"*SICK*")-COUNTIF(Schedule!$C$14:$GT$14,"*TRN*")</f>
        <v>12</v>
      </c>
      <c r="G11" s="7"/>
    </row>
    <row r="12" spans="1:7" ht="15" customHeight="1" x14ac:dyDescent="0.25">
      <c r="A12" s="6" t="s">
        <v>61</v>
      </c>
      <c r="B12" s="9" t="s">
        <v>48</v>
      </c>
      <c r="C12" s="26" t="s">
        <v>212</v>
      </c>
      <c r="D12" s="8" t="s">
        <v>54</v>
      </c>
      <c r="E12" s="8">
        <f>SUMPRODUCT((Schedule!$C$4:$GT$4&lt;&gt;"S")*((ISNUMBER(SEARCH("VAC",Schedule!$C$15:$GT$15))+ISNUMBER(SEARCH("HOL",Schedule!$C$15:$GT$15))+ISNUMBER(SEARCH("SICK",Schedule!$C$15:$GT$15))+ISNUMBER(SEARCH("TRN",Schedule!$C$15:$GT$15)))=0))</f>
        <v>138</v>
      </c>
      <c r="F12" s="8">
        <f>COUNTA(Schedule!$C$15:$GT$15)-COUNTIF(Schedule!$C$15:$GT$15,"*VAC*")-COUNTIF(Schedule!$C$15:$GT$15,"*HOL*")-COUNTIF(Schedule!$C$15:$GT$15,"*SICK*")-COUNTIF(Schedule!$C$15:$GT$15,"*TRN*")</f>
        <v>13</v>
      </c>
      <c r="G12" s="7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45"/>
  <sheetViews>
    <sheetView showGridLines="0" zoomScaleNormal="100" workbookViewId="0">
      <pane ySplit="1" topLeftCell="A11" activePane="bottomLeft" state="frozen"/>
      <selection pane="bottomLeft" activeCell="E23" sqref="E23"/>
    </sheetView>
  </sheetViews>
  <sheetFormatPr defaultColWidth="8.7109375" defaultRowHeight="15" x14ac:dyDescent="0.25"/>
  <cols>
    <col min="1" max="1" width="14.28515625" customWidth="1"/>
    <col min="2" max="2" width="50" customWidth="1"/>
    <col min="3" max="3" width="20" customWidth="1"/>
    <col min="4" max="7" width="27" customWidth="1"/>
    <col min="8" max="8" width="22" customWidth="1"/>
    <col min="12" max="12" width="13" customWidth="1"/>
  </cols>
  <sheetData>
    <row r="1" spans="1:8" ht="30" customHeight="1" x14ac:dyDescent="0.25">
      <c r="A1" s="4" t="s">
        <v>62</v>
      </c>
      <c r="B1" s="4" t="s">
        <v>63</v>
      </c>
      <c r="C1" s="4" t="s">
        <v>64</v>
      </c>
      <c r="D1" s="4" t="s">
        <v>65</v>
      </c>
      <c r="E1" s="5" t="s">
        <v>66</v>
      </c>
      <c r="F1" s="5" t="s">
        <v>67</v>
      </c>
      <c r="G1" s="5" t="s">
        <v>68</v>
      </c>
      <c r="H1" s="4" t="s">
        <v>69</v>
      </c>
    </row>
    <row r="2" spans="1:8" ht="15" customHeight="1" x14ac:dyDescent="0.25">
      <c r="A2" s="25" t="s">
        <v>184</v>
      </c>
      <c r="B2" s="24" t="s">
        <v>185</v>
      </c>
      <c r="C2" s="7" t="s">
        <v>114</v>
      </c>
      <c r="D2" s="7" t="s">
        <v>74</v>
      </c>
      <c r="E2" s="7"/>
      <c r="F2" s="7"/>
      <c r="G2" s="7"/>
      <c r="H2" s="11">
        <f>COUNTIF(Schedule!$C$5:$GT$15,"*"&amp;A2&amp;"*")</f>
        <v>10</v>
      </c>
    </row>
    <row r="3" spans="1:8" ht="15" customHeight="1" x14ac:dyDescent="0.25">
      <c r="A3" s="10" t="s">
        <v>115</v>
      </c>
      <c r="B3" s="7" t="s">
        <v>116</v>
      </c>
      <c r="C3" s="7" t="s">
        <v>86</v>
      </c>
      <c r="D3" s="7" t="s">
        <v>74</v>
      </c>
      <c r="E3" s="7"/>
      <c r="F3" s="7"/>
      <c r="G3" s="7"/>
      <c r="H3" s="11">
        <f>COUNTIF(Schedule!$C$5:$GT$15,"*"&amp;A3&amp;"*")</f>
        <v>15</v>
      </c>
    </row>
    <row r="4" spans="1:8" ht="15" customHeight="1" x14ac:dyDescent="0.25">
      <c r="A4" s="10" t="s">
        <v>84</v>
      </c>
      <c r="B4" s="7" t="s">
        <v>85</v>
      </c>
      <c r="C4" s="7" t="s">
        <v>86</v>
      </c>
      <c r="D4" s="7" t="s">
        <v>74</v>
      </c>
      <c r="E4" s="7"/>
      <c r="F4" s="7"/>
      <c r="G4" s="7"/>
      <c r="H4" s="11">
        <f>COUNTIF(Schedule!$C$5:$GT$15,"*"&amp;A4&amp;"*")</f>
        <v>15</v>
      </c>
    </row>
    <row r="5" spans="1:8" ht="15" customHeight="1" x14ac:dyDescent="0.25">
      <c r="A5" s="25" t="s">
        <v>208</v>
      </c>
      <c r="B5" s="24" t="s">
        <v>209</v>
      </c>
      <c r="C5" s="24" t="s">
        <v>86</v>
      </c>
      <c r="D5" s="7" t="s">
        <v>77</v>
      </c>
      <c r="E5" s="7"/>
      <c r="F5" s="7"/>
      <c r="G5" s="7"/>
      <c r="H5" s="11"/>
    </row>
    <row r="6" spans="1:8" ht="15" customHeight="1" x14ac:dyDescent="0.25">
      <c r="A6" s="25" t="s">
        <v>210</v>
      </c>
      <c r="B6" s="24" t="s">
        <v>211</v>
      </c>
      <c r="C6" s="24" t="s">
        <v>86</v>
      </c>
      <c r="D6" s="7" t="s">
        <v>77</v>
      </c>
      <c r="E6" s="7"/>
      <c r="F6" s="7"/>
      <c r="G6" s="7"/>
      <c r="H6" s="11"/>
    </row>
    <row r="7" spans="1:8" ht="15" customHeight="1" x14ac:dyDescent="0.25">
      <c r="A7" s="25" t="s">
        <v>194</v>
      </c>
      <c r="B7" s="24" t="s">
        <v>195</v>
      </c>
      <c r="C7" s="7" t="s">
        <v>107</v>
      </c>
      <c r="D7" s="7" t="s">
        <v>74</v>
      </c>
      <c r="E7" s="7"/>
      <c r="F7" s="7"/>
      <c r="G7" s="7"/>
      <c r="H7" s="11">
        <f>COUNTIF(Schedule!$C$5:$GT$15,"*"&amp;A7&amp;"*")</f>
        <v>0</v>
      </c>
    </row>
    <row r="8" spans="1:8" ht="15" customHeight="1" x14ac:dyDescent="0.25">
      <c r="A8" s="25" t="s">
        <v>193</v>
      </c>
      <c r="B8" s="24" t="s">
        <v>195</v>
      </c>
      <c r="C8" s="7" t="s">
        <v>107</v>
      </c>
      <c r="D8" s="7" t="s">
        <v>74</v>
      </c>
      <c r="E8" s="7"/>
      <c r="F8" s="7"/>
      <c r="G8" s="7"/>
      <c r="H8" s="11">
        <f>COUNTIF(Schedule!$C$5:$GT$15,"*"&amp;A8&amp;"*")</f>
        <v>0</v>
      </c>
    </row>
    <row r="9" spans="1:8" ht="15" customHeight="1" x14ac:dyDescent="0.25">
      <c r="A9" s="25" t="s">
        <v>199</v>
      </c>
      <c r="B9" s="24" t="s">
        <v>200</v>
      </c>
      <c r="C9" s="24" t="s">
        <v>201</v>
      </c>
      <c r="D9" s="7" t="s">
        <v>74</v>
      </c>
      <c r="E9" s="7"/>
      <c r="F9" s="7"/>
      <c r="G9" s="7"/>
      <c r="H9" s="11">
        <f>COUNTIF(Schedule!$C$5:$GT$15,"*"&amp;A9&amp;"*")</f>
        <v>1</v>
      </c>
    </row>
    <row r="10" spans="1:8" ht="15" customHeight="1" x14ac:dyDescent="0.25">
      <c r="A10" s="10" t="s">
        <v>213</v>
      </c>
      <c r="B10" s="7" t="s">
        <v>214</v>
      </c>
      <c r="C10" s="7" t="s">
        <v>215</v>
      </c>
      <c r="D10" s="7" t="s">
        <v>77</v>
      </c>
      <c r="E10" s="7"/>
      <c r="F10" s="7"/>
      <c r="G10" s="7"/>
      <c r="H10" s="11">
        <f>COUNTIF(Schedule!$C$5:$GT$15,"*"&amp;A10&amp;"*")</f>
        <v>0</v>
      </c>
    </row>
    <row r="11" spans="1:8" ht="15" customHeight="1" x14ac:dyDescent="0.25">
      <c r="A11" s="25" t="s">
        <v>196</v>
      </c>
      <c r="B11" s="24" t="s">
        <v>186</v>
      </c>
      <c r="C11" s="7" t="s">
        <v>92</v>
      </c>
      <c r="D11" s="7" t="s">
        <v>74</v>
      </c>
      <c r="E11" s="7"/>
      <c r="F11" s="7"/>
      <c r="G11" s="7"/>
      <c r="H11" s="11">
        <f>COUNTIF(Schedule!$C$5:$GT$15,"*"&amp;A11&amp;"*")</f>
        <v>32</v>
      </c>
    </row>
    <row r="12" spans="1:8" ht="15" customHeight="1" x14ac:dyDescent="0.25">
      <c r="A12" s="10" t="s">
        <v>97</v>
      </c>
      <c r="B12" s="7" t="s">
        <v>98</v>
      </c>
      <c r="C12" s="7" t="s">
        <v>92</v>
      </c>
      <c r="D12" s="7" t="s">
        <v>77</v>
      </c>
      <c r="E12" s="7"/>
      <c r="F12" s="7"/>
      <c r="G12" s="7"/>
      <c r="H12" s="11">
        <f>COUNTIF(Schedule!$C$5:$GT$15,"*"&amp;A12&amp;"*")</f>
        <v>0</v>
      </c>
    </row>
    <row r="13" spans="1:8" ht="15" customHeight="1" x14ac:dyDescent="0.25">
      <c r="A13" s="10" t="s">
        <v>90</v>
      </c>
      <c r="B13" s="7" t="s">
        <v>91</v>
      </c>
      <c r="C13" s="7" t="s">
        <v>92</v>
      </c>
      <c r="D13" s="7" t="s">
        <v>74</v>
      </c>
      <c r="E13" s="7"/>
      <c r="F13" s="7"/>
      <c r="G13" s="7"/>
      <c r="H13" s="11">
        <f>COUNTIF(Schedule!$C$5:$GT$15,"*"&amp;A13&amp;"*")</f>
        <v>8</v>
      </c>
    </row>
    <row r="14" spans="1:8" ht="15" customHeight="1" x14ac:dyDescent="0.25">
      <c r="A14" s="25" t="s">
        <v>205</v>
      </c>
      <c r="B14" s="24" t="s">
        <v>204</v>
      </c>
      <c r="C14" s="24" t="s">
        <v>92</v>
      </c>
      <c r="D14" s="7" t="s">
        <v>77</v>
      </c>
      <c r="E14" s="7"/>
      <c r="F14" s="7"/>
      <c r="G14" s="7"/>
      <c r="H14" s="11">
        <f>COUNTIF(Schedule!$C$5:$GT$15,"*"&amp;A14&amp;"*")</f>
        <v>0</v>
      </c>
    </row>
    <row r="15" spans="1:8" ht="15" customHeight="1" x14ac:dyDescent="0.25">
      <c r="A15" s="10" t="s">
        <v>101</v>
      </c>
      <c r="B15" s="7" t="s">
        <v>102</v>
      </c>
      <c r="C15" s="7" t="s">
        <v>92</v>
      </c>
      <c r="D15" s="7" t="s">
        <v>77</v>
      </c>
      <c r="E15" s="7"/>
      <c r="F15" s="7"/>
      <c r="G15" s="7"/>
      <c r="H15" s="11">
        <f>COUNTIF(Schedule!$C$5:$GT$15,"*"&amp;A15&amp;"*")</f>
        <v>0</v>
      </c>
    </row>
    <row r="16" spans="1:8" ht="15" customHeight="1" x14ac:dyDescent="0.25">
      <c r="A16" s="25" t="s">
        <v>206</v>
      </c>
      <c r="B16" s="24" t="s">
        <v>207</v>
      </c>
      <c r="C16" s="24" t="s">
        <v>92</v>
      </c>
      <c r="D16" s="7" t="s">
        <v>77</v>
      </c>
      <c r="E16" s="7"/>
      <c r="F16" s="7"/>
      <c r="G16" s="7"/>
      <c r="H16" s="11">
        <f>COUNTIF(Schedule!$C$5:$GT$15,"*"&amp;A16&amp;"*")</f>
        <v>0</v>
      </c>
    </row>
    <row r="17" spans="1:8" ht="15" customHeight="1" x14ac:dyDescent="0.25">
      <c r="A17" s="10" t="s">
        <v>105</v>
      </c>
      <c r="B17" s="7" t="s">
        <v>106</v>
      </c>
      <c r="C17" s="7" t="s">
        <v>92</v>
      </c>
      <c r="D17" s="7" t="s">
        <v>74</v>
      </c>
      <c r="E17" s="7"/>
      <c r="F17" s="7"/>
      <c r="G17" s="7"/>
      <c r="H17" s="11">
        <f>COUNTIF(Schedule!$C$5:$GT$15,"*"&amp;A17&amp;"*")</f>
        <v>15</v>
      </c>
    </row>
    <row r="18" spans="1:8" ht="15" customHeight="1" x14ac:dyDescent="0.25">
      <c r="A18" s="10" t="s">
        <v>93</v>
      </c>
      <c r="B18" s="7" t="s">
        <v>94</v>
      </c>
      <c r="C18" s="7" t="s">
        <v>92</v>
      </c>
      <c r="D18" s="7" t="s">
        <v>77</v>
      </c>
      <c r="E18" s="7"/>
      <c r="F18" s="7"/>
      <c r="G18" s="7"/>
      <c r="H18" s="11">
        <f>COUNTIF(Schedule!$C$5:$GT$15,"*"&amp;A18&amp;"*")</f>
        <v>0</v>
      </c>
    </row>
    <row r="19" spans="1:8" ht="15" customHeight="1" x14ac:dyDescent="0.25">
      <c r="A19" s="10" t="s">
        <v>99</v>
      </c>
      <c r="B19" s="7" t="s">
        <v>100</v>
      </c>
      <c r="C19" s="7" t="s">
        <v>92</v>
      </c>
      <c r="D19" s="7" t="s">
        <v>77</v>
      </c>
      <c r="E19" s="7"/>
      <c r="F19" s="7"/>
      <c r="G19" s="7"/>
      <c r="H19" s="11">
        <f>COUNTIF(Schedule!$C$5:$GT$15,"*"&amp;A19&amp;"*")</f>
        <v>0</v>
      </c>
    </row>
    <row r="20" spans="1:8" ht="15" customHeight="1" x14ac:dyDescent="0.25">
      <c r="A20" s="25" t="s">
        <v>197</v>
      </c>
      <c r="B20" s="24" t="s">
        <v>198</v>
      </c>
      <c r="C20" s="24" t="s">
        <v>92</v>
      </c>
      <c r="D20" s="7" t="s">
        <v>77</v>
      </c>
      <c r="E20" s="7"/>
      <c r="F20" s="7"/>
      <c r="G20" s="7"/>
      <c r="H20" s="11">
        <f>COUNTIF(Schedule!$C$5:$GT$15,"*"&amp;A20&amp;"*")</f>
        <v>0</v>
      </c>
    </row>
    <row r="21" spans="1:8" ht="15" customHeight="1" x14ac:dyDescent="0.25">
      <c r="A21" s="10" t="s">
        <v>95</v>
      </c>
      <c r="B21" s="7" t="s">
        <v>96</v>
      </c>
      <c r="C21" s="7" t="s">
        <v>92</v>
      </c>
      <c r="D21" s="7" t="s">
        <v>77</v>
      </c>
      <c r="E21" s="7"/>
      <c r="F21" s="7"/>
      <c r="G21" s="7"/>
      <c r="H21" s="11">
        <f>COUNTIF(Schedule!$C$5:$GT$15,"*"&amp;A21&amp;"*")</f>
        <v>0</v>
      </c>
    </row>
    <row r="22" spans="1:8" ht="15" customHeight="1" x14ac:dyDescent="0.25">
      <c r="A22" s="25" t="s">
        <v>191</v>
      </c>
      <c r="B22" s="7" t="s">
        <v>75</v>
      </c>
      <c r="C22" s="7" t="s">
        <v>76</v>
      </c>
      <c r="D22" s="7" t="s">
        <v>74</v>
      </c>
      <c r="E22" s="7"/>
      <c r="F22" s="7"/>
      <c r="G22" s="7"/>
      <c r="H22" s="11">
        <f>COUNTIF(Schedule!$C$5:$GT$15,"*"&amp;A22&amp;"*")</f>
        <v>1</v>
      </c>
    </row>
    <row r="23" spans="1:8" ht="15" customHeight="1" x14ac:dyDescent="0.25">
      <c r="A23" s="10" t="s">
        <v>223</v>
      </c>
      <c r="B23" s="7" t="s">
        <v>224</v>
      </c>
      <c r="C23" s="7" t="s">
        <v>80</v>
      </c>
      <c r="D23" s="7" t="s">
        <v>74</v>
      </c>
      <c r="E23" s="7"/>
      <c r="F23" s="7"/>
      <c r="G23" s="7"/>
      <c r="H23" s="11"/>
    </row>
    <row r="24" spans="1:8" ht="15" customHeight="1" x14ac:dyDescent="0.25">
      <c r="A24" s="25" t="s">
        <v>202</v>
      </c>
      <c r="B24" s="24" t="s">
        <v>203</v>
      </c>
      <c r="C24" s="24" t="s">
        <v>80</v>
      </c>
      <c r="D24" s="7" t="s">
        <v>77</v>
      </c>
      <c r="E24" s="7"/>
      <c r="F24" s="7"/>
      <c r="G24" s="7"/>
      <c r="H24" s="11">
        <f>COUNTIF(Schedule!$C$5:$GT$15,"*"&amp;A24&amp;"*")</f>
        <v>0</v>
      </c>
    </row>
    <row r="25" spans="1:8" ht="15" customHeight="1" x14ac:dyDescent="0.25">
      <c r="A25" s="10" t="s">
        <v>78</v>
      </c>
      <c r="B25" s="7" t="s">
        <v>79</v>
      </c>
      <c r="C25" s="7" t="s">
        <v>80</v>
      </c>
      <c r="D25" s="7" t="s">
        <v>74</v>
      </c>
      <c r="E25" s="7"/>
      <c r="F25" s="7"/>
      <c r="G25" s="7"/>
      <c r="H25" s="11">
        <f>COUNTIF(Schedule!$C$5:$GT$15,"*"&amp;A25&amp;"*")</f>
        <v>0</v>
      </c>
    </row>
    <row r="26" spans="1:8" ht="15" customHeight="1" x14ac:dyDescent="0.25">
      <c r="A26" s="25" t="s">
        <v>192</v>
      </c>
      <c r="B26" s="7" t="s">
        <v>83</v>
      </c>
      <c r="C26" s="7" t="s">
        <v>82</v>
      </c>
      <c r="D26" s="7" t="s">
        <v>74</v>
      </c>
      <c r="E26" s="7"/>
      <c r="F26" s="7"/>
      <c r="G26" s="7"/>
      <c r="H26" s="11">
        <f>COUNTIF(Schedule!$C$5:$GT$15,"*"&amp;A26&amp;"*")</f>
        <v>0</v>
      </c>
    </row>
    <row r="27" spans="1:8" ht="15" customHeight="1" x14ac:dyDescent="0.25">
      <c r="A27" s="25" t="s">
        <v>117</v>
      </c>
      <c r="B27" s="24" t="s">
        <v>118</v>
      </c>
      <c r="C27" s="24" t="s">
        <v>119</v>
      </c>
      <c r="D27" s="7" t="s">
        <v>77</v>
      </c>
      <c r="E27" s="7"/>
      <c r="F27" s="7"/>
      <c r="G27" s="7"/>
      <c r="H27" s="11">
        <f>COUNTIF(Schedule!$C$5:$GT$15,"*"&amp;A27&amp;"*")</f>
        <v>0</v>
      </c>
    </row>
    <row r="28" spans="1:8" ht="15" customHeight="1" x14ac:dyDescent="0.25">
      <c r="A28" s="12" t="s">
        <v>189</v>
      </c>
      <c r="B28" s="9" t="s">
        <v>103</v>
      </c>
      <c r="C28" s="9" t="s">
        <v>104</v>
      </c>
      <c r="D28" s="7" t="s">
        <v>74</v>
      </c>
      <c r="E28" s="7"/>
      <c r="F28" s="7"/>
      <c r="G28" s="7"/>
      <c r="H28" s="11">
        <f>COUNTIF(Schedule!$C$5:$GT$15,"*"&amp;A28&amp;"*")</f>
        <v>0</v>
      </c>
    </row>
    <row r="29" spans="1:8" ht="15" customHeight="1" x14ac:dyDescent="0.25">
      <c r="A29" s="12" t="s">
        <v>190</v>
      </c>
      <c r="B29" s="9" t="s">
        <v>181</v>
      </c>
      <c r="C29" s="9" t="s">
        <v>104</v>
      </c>
      <c r="D29" s="7" t="s">
        <v>74</v>
      </c>
      <c r="E29" s="7"/>
      <c r="F29" s="7"/>
      <c r="G29" s="7"/>
      <c r="H29" s="11">
        <f>COUNTIF(Schedule!$C$5:$GT$15,"*"&amp;A29&amp;"*")</f>
        <v>7</v>
      </c>
    </row>
    <row r="30" spans="1:8" ht="15" customHeight="1" x14ac:dyDescent="0.25">
      <c r="A30" s="10" t="s">
        <v>71</v>
      </c>
      <c r="B30" s="7" t="s">
        <v>72</v>
      </c>
      <c r="C30" s="7" t="s">
        <v>73</v>
      </c>
      <c r="D30" s="7" t="s">
        <v>74</v>
      </c>
      <c r="E30" s="7"/>
      <c r="F30" s="7"/>
      <c r="G30" s="7"/>
      <c r="H30" s="11">
        <f>COUNTIF(Schedule!$C$5:$GT$15,"*"&amp;A30&amp;"*")</f>
        <v>0</v>
      </c>
    </row>
    <row r="31" spans="1:8" ht="15" customHeight="1" x14ac:dyDescent="0.25">
      <c r="A31" s="10" t="s">
        <v>87</v>
      </c>
      <c r="B31" s="7" t="s">
        <v>88</v>
      </c>
      <c r="C31" s="7" t="s">
        <v>89</v>
      </c>
      <c r="D31" s="7" t="s">
        <v>74</v>
      </c>
      <c r="E31" s="7"/>
      <c r="F31" s="7"/>
      <c r="G31" s="7"/>
      <c r="H31" s="11">
        <f>COUNTIF(Schedule!$C$5:$GT$15,"*"&amp;A31&amp;"*")</f>
        <v>2</v>
      </c>
    </row>
    <row r="32" spans="1:8" ht="15" customHeight="1" x14ac:dyDescent="0.25">
      <c r="A32" s="10" t="s">
        <v>218</v>
      </c>
      <c r="B32" s="7" t="s">
        <v>219</v>
      </c>
      <c r="C32" s="7" t="s">
        <v>201</v>
      </c>
      <c r="D32" s="7" t="s">
        <v>74</v>
      </c>
      <c r="E32" s="7"/>
      <c r="F32" s="7"/>
      <c r="G32" s="7"/>
      <c r="H32" s="11">
        <f>COUNTIF(Schedule!$C$5:$GT$15,"*"&amp;A32&amp;"*")</f>
        <v>0</v>
      </c>
    </row>
    <row r="33" spans="1:8" ht="15" customHeight="1" x14ac:dyDescent="0.25">
      <c r="A33" s="10" t="s">
        <v>216</v>
      </c>
      <c r="B33" s="7" t="s">
        <v>217</v>
      </c>
      <c r="C33" s="7" t="s">
        <v>201</v>
      </c>
      <c r="D33" s="7" t="s">
        <v>74</v>
      </c>
      <c r="E33" s="7"/>
      <c r="F33" s="7"/>
      <c r="G33" s="7"/>
      <c r="H33" s="11">
        <f>COUNTIF(Schedule!$C$5:$GT$15,"*"&amp;A33&amp;"*")</f>
        <v>1</v>
      </c>
    </row>
    <row r="34" spans="1:8" ht="15" customHeight="1" x14ac:dyDescent="0.25">
      <c r="A34" s="10" t="s">
        <v>120</v>
      </c>
      <c r="B34" s="7" t="s">
        <v>121</v>
      </c>
      <c r="C34" s="7" t="s">
        <v>201</v>
      </c>
      <c r="D34" s="7" t="s">
        <v>74</v>
      </c>
      <c r="E34" s="7"/>
      <c r="F34" s="7"/>
      <c r="G34" s="7"/>
      <c r="H34" s="11">
        <f>COUNTIF(Schedule!$C$5:$GT$15,"*"&amp;A34&amp;"*")</f>
        <v>2</v>
      </c>
    </row>
    <row r="35" spans="1:8" ht="15" customHeight="1" x14ac:dyDescent="0.25">
      <c r="A35" s="10" t="s">
        <v>220</v>
      </c>
      <c r="B35" s="7" t="s">
        <v>221</v>
      </c>
      <c r="C35" s="7" t="s">
        <v>201</v>
      </c>
      <c r="D35" s="7" t="s">
        <v>74</v>
      </c>
      <c r="E35" s="7"/>
      <c r="F35" s="7"/>
      <c r="G35" s="7"/>
      <c r="H35" s="11">
        <f>COUNTIF(Schedule!$C$5:$GT$15,"*"&amp;A35&amp;"*")</f>
        <v>0</v>
      </c>
    </row>
    <row r="36" spans="1:8" ht="15" customHeight="1" x14ac:dyDescent="0.25">
      <c r="A36" s="10" t="s">
        <v>108</v>
      </c>
      <c r="B36" s="24" t="s">
        <v>187</v>
      </c>
      <c r="C36" s="7" t="s">
        <v>108</v>
      </c>
      <c r="D36" s="7" t="s">
        <v>74</v>
      </c>
      <c r="E36" s="7"/>
      <c r="F36" s="7"/>
      <c r="G36" s="7"/>
      <c r="H36" s="11">
        <f>COUNTIF(Schedule!$C$5:$GT$15,"*"&amp;A36&amp;"*")</f>
        <v>25</v>
      </c>
    </row>
    <row r="37" spans="1:8" ht="15" customHeight="1" x14ac:dyDescent="0.25">
      <c r="A37" s="25" t="s">
        <v>182</v>
      </c>
      <c r="B37" s="24" t="s">
        <v>188</v>
      </c>
      <c r="C37" s="24" t="s">
        <v>108</v>
      </c>
      <c r="D37" s="7" t="s">
        <v>74</v>
      </c>
      <c r="E37" s="7"/>
      <c r="F37" s="7"/>
      <c r="G37" s="7"/>
      <c r="H37" s="11">
        <f>COUNTIF(Schedule!$C$5:$GT$15,"*"&amp;A37&amp;"*")</f>
        <v>24</v>
      </c>
    </row>
    <row r="38" spans="1:8" ht="15" customHeight="1" x14ac:dyDescent="0.25">
      <c r="A38" s="10" t="s">
        <v>109</v>
      </c>
      <c r="B38" s="7" t="s">
        <v>110</v>
      </c>
      <c r="C38" s="7" t="s">
        <v>111</v>
      </c>
      <c r="D38" s="7" t="s">
        <v>74</v>
      </c>
      <c r="E38" s="7"/>
      <c r="F38" s="7"/>
      <c r="G38" s="7"/>
      <c r="H38" s="11">
        <f>COUNTIF(Schedule!$C$5:$GT$15,"*"&amp;A38&amp;"*")</f>
        <v>0</v>
      </c>
    </row>
    <row r="39" spans="1:8" ht="15" customHeight="1" x14ac:dyDescent="0.25">
      <c r="A39" s="10" t="s">
        <v>112</v>
      </c>
      <c r="B39" s="7" t="s">
        <v>113</v>
      </c>
      <c r="C39" s="7" t="s">
        <v>111</v>
      </c>
      <c r="D39" s="7" t="s">
        <v>74</v>
      </c>
      <c r="E39" s="7"/>
      <c r="F39" s="7"/>
      <c r="G39" s="7"/>
      <c r="H39" s="11">
        <f>COUNTIF(Schedule!$C$5:$GT$15,"*"&amp;A39&amp;"*")</f>
        <v>0</v>
      </c>
    </row>
    <row r="40" spans="1:8" ht="15" customHeight="1" x14ac:dyDescent="0.25"/>
    <row r="41" spans="1:8" ht="15" customHeight="1" x14ac:dyDescent="0.25"/>
    <row r="42" spans="1:8" ht="15" customHeight="1" x14ac:dyDescent="0.25">
      <c r="A42" s="10" t="s">
        <v>122</v>
      </c>
      <c r="B42" s="13" t="s">
        <v>123</v>
      </c>
    </row>
    <row r="43" spans="1:8" ht="15" customHeight="1" x14ac:dyDescent="0.25">
      <c r="A43" s="10" t="s">
        <v>124</v>
      </c>
      <c r="B43" s="13" t="s">
        <v>125</v>
      </c>
    </row>
    <row r="44" spans="1:8" ht="15" customHeight="1" x14ac:dyDescent="0.25">
      <c r="A44" s="10" t="s">
        <v>126</v>
      </c>
      <c r="B44" s="13" t="s">
        <v>127</v>
      </c>
    </row>
    <row r="45" spans="1:8" ht="15" customHeight="1" x14ac:dyDescent="0.25">
      <c r="A45" s="10" t="s">
        <v>128</v>
      </c>
      <c r="B45" s="13" t="s">
        <v>129</v>
      </c>
    </row>
  </sheetData>
  <autoFilter ref="A1:H39" xr:uid="{00000000-0001-0000-0200-000000000000}">
    <sortState xmlns:xlrd2="http://schemas.microsoft.com/office/spreadsheetml/2017/richdata2" ref="A2:H39">
      <sortCondition ref="A1:A39"/>
    </sortState>
  </autoFilter>
  <conditionalFormatting sqref="D2:D39">
    <cfRule type="expression" dxfId="8" priority="2">
      <formula>ISNUMBER(SEARCH("Confirmed",D2))</formula>
    </cfRule>
    <cfRule type="expression" dxfId="7" priority="3">
      <formula>ISNUMBER(SEARCH("Potential",D2))</formula>
    </cfRule>
  </conditionalFormatting>
  <pageMargins left="0.75" right="0.75" top="1" bottom="1" header="0.511811023622047" footer="0.511811023622047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56E591-8F42-4C1E-8925-79D8877B1AD4}">
          <x14:formula1>
            <xm:f>'Dropdown List (Hidden)'!$A$2:$A$4</xm:f>
          </x14:formula1>
          <xm:sqref>D2:D39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7F0DF-DA85-41EE-B0BE-BAE1FE1EFB50}">
  <dimension ref="A1:A4"/>
  <sheetViews>
    <sheetView workbookViewId="0">
      <selection sqref="A1:A4"/>
    </sheetView>
  </sheetViews>
  <sheetFormatPr defaultRowHeight="15" x14ac:dyDescent="0.25"/>
  <sheetData>
    <row r="1" spans="1:1" x14ac:dyDescent="0.25">
      <c r="A1" t="s">
        <v>70</v>
      </c>
    </row>
    <row r="2" spans="1:1" x14ac:dyDescent="0.25">
      <c r="A2" t="s">
        <v>74</v>
      </c>
    </row>
    <row r="3" spans="1:1" x14ac:dyDescent="0.25">
      <c r="A3" t="s">
        <v>81</v>
      </c>
    </row>
    <row r="4" spans="1:1" x14ac:dyDescent="0.25">
      <c r="A4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T15"/>
  <sheetViews>
    <sheetView showGridLines="0" tabSelected="1" zoomScale="130" zoomScaleNormal="130" workbookViewId="0">
      <pane xSplit="2" ySplit="4" topLeftCell="F5" activePane="bottomRight" state="frozen"/>
      <selection pane="topRight" activeCell="D1" sqref="D1"/>
      <selection pane="bottomLeft" activeCell="A5" sqref="A5"/>
      <selection pane="bottomRight" activeCell="K14" sqref="K14"/>
    </sheetView>
  </sheetViews>
  <sheetFormatPr defaultColWidth="8.7109375" defaultRowHeight="15" x14ac:dyDescent="0.25"/>
  <cols>
    <col min="1" max="1" width="22" customWidth="1"/>
    <col min="2" max="2" width="20.5703125" customWidth="1"/>
    <col min="3" max="7" width="11.140625" bestFit="1" customWidth="1"/>
    <col min="8" max="9" width="10" customWidth="1"/>
    <col min="10" max="14" width="11.140625" bestFit="1" customWidth="1"/>
    <col min="15" max="202" width="10" customWidth="1"/>
  </cols>
  <sheetData>
    <row r="1" spans="1:202" ht="15.75" customHeight="1" x14ac:dyDescent="0.25">
      <c r="A1" s="27" t="s">
        <v>33</v>
      </c>
      <c r="B1" s="27" t="s">
        <v>34</v>
      </c>
      <c r="C1" s="28" t="s">
        <v>130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 t="s">
        <v>131</v>
      </c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 t="s">
        <v>132</v>
      </c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30" t="s">
        <v>133</v>
      </c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1" t="s">
        <v>134</v>
      </c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  <c r="ED1" s="31"/>
      <c r="EE1" s="31"/>
      <c r="EF1" s="31"/>
      <c r="EG1" s="31"/>
      <c r="EH1" s="31"/>
      <c r="EI1" s="31"/>
      <c r="EJ1" s="31"/>
      <c r="EK1" s="31"/>
      <c r="EL1" s="31" t="s">
        <v>135</v>
      </c>
      <c r="EM1" s="31"/>
      <c r="EN1" s="31"/>
      <c r="EO1" s="31"/>
      <c r="EP1" s="31"/>
      <c r="EQ1" s="31"/>
      <c r="ER1" s="31"/>
      <c r="ES1" s="31"/>
      <c r="ET1" s="31"/>
      <c r="EU1" s="31"/>
      <c r="EV1" s="31"/>
      <c r="EW1" s="31"/>
      <c r="EX1" s="31"/>
      <c r="EY1" s="31"/>
      <c r="EZ1" s="31"/>
      <c r="FA1" s="31"/>
      <c r="FB1" s="31"/>
      <c r="FC1" s="31"/>
      <c r="FD1" s="31"/>
      <c r="FE1" s="31"/>
      <c r="FF1" s="31"/>
      <c r="FG1" s="31"/>
      <c r="FH1" s="31"/>
      <c r="FI1" s="31"/>
      <c r="FJ1" s="31"/>
      <c r="FK1" s="31"/>
      <c r="FL1" s="31"/>
      <c r="FM1" s="31"/>
      <c r="FN1" s="31"/>
      <c r="FO1" s="31"/>
      <c r="FP1" s="31" t="s">
        <v>136</v>
      </c>
      <c r="FQ1" s="31"/>
      <c r="FR1" s="31"/>
      <c r="FS1" s="31"/>
      <c r="FT1" s="31"/>
      <c r="FU1" s="31"/>
      <c r="FV1" s="31"/>
      <c r="FW1" s="31"/>
      <c r="FX1" s="31"/>
      <c r="FY1" s="31"/>
      <c r="FZ1" s="31"/>
      <c r="GA1" s="31"/>
      <c r="GB1" s="31"/>
      <c r="GC1" s="31"/>
      <c r="GD1" s="31"/>
      <c r="GE1" s="31"/>
      <c r="GF1" s="31"/>
      <c r="GG1" s="31"/>
      <c r="GH1" s="31"/>
      <c r="GI1" s="31"/>
      <c r="GJ1" s="31"/>
      <c r="GK1" s="31"/>
      <c r="GL1" s="31"/>
      <c r="GM1" s="31"/>
      <c r="GN1" s="31"/>
      <c r="GO1" s="31"/>
      <c r="GP1" s="31"/>
      <c r="GQ1" s="31"/>
      <c r="GR1" s="31"/>
      <c r="GS1" s="31"/>
      <c r="GT1" s="31"/>
    </row>
    <row r="2" spans="1:202" ht="13.5" customHeight="1" x14ac:dyDescent="0.25">
      <c r="A2" s="27"/>
      <c r="B2" s="27"/>
      <c r="C2" s="29" t="s">
        <v>137</v>
      </c>
      <c r="D2" s="29"/>
      <c r="E2" s="29"/>
      <c r="F2" s="29"/>
      <c r="G2" s="29"/>
      <c r="H2" s="29"/>
      <c r="I2" s="29"/>
      <c r="J2" s="29" t="s">
        <v>138</v>
      </c>
      <c r="K2" s="29"/>
      <c r="L2" s="29"/>
      <c r="M2" s="29"/>
      <c r="N2" s="29"/>
      <c r="O2" s="29"/>
      <c r="P2" s="29"/>
      <c r="Q2" s="29" t="s">
        <v>139</v>
      </c>
      <c r="R2" s="29"/>
      <c r="S2" s="29"/>
      <c r="T2" s="29"/>
      <c r="U2" s="29"/>
      <c r="V2" s="29"/>
      <c r="W2" s="29"/>
      <c r="X2" s="29" t="s">
        <v>140</v>
      </c>
      <c r="Y2" s="29"/>
      <c r="Z2" s="29"/>
      <c r="AA2" s="29"/>
      <c r="AB2" s="29"/>
      <c r="AC2" s="29"/>
      <c r="AD2" s="29"/>
      <c r="AE2" s="29" t="s">
        <v>141</v>
      </c>
      <c r="AF2" s="29"/>
      <c r="AG2" s="29"/>
      <c r="AH2" s="29"/>
      <c r="AI2" s="29"/>
      <c r="AJ2" s="29"/>
      <c r="AK2" s="29"/>
      <c r="AL2" s="29" t="s">
        <v>142</v>
      </c>
      <c r="AM2" s="29"/>
      <c r="AN2" s="29"/>
      <c r="AO2" s="29"/>
      <c r="AP2" s="29"/>
      <c r="AQ2" s="29"/>
      <c r="AR2" s="29"/>
      <c r="AS2" s="29" t="s">
        <v>143</v>
      </c>
      <c r="AT2" s="29"/>
      <c r="AU2" s="29"/>
      <c r="AV2" s="29"/>
      <c r="AW2" s="29"/>
      <c r="AX2" s="29"/>
      <c r="AY2" s="29"/>
      <c r="AZ2" s="29" t="s">
        <v>144</v>
      </c>
      <c r="BA2" s="29"/>
      <c r="BB2" s="29"/>
      <c r="BC2" s="29"/>
      <c r="BD2" s="29"/>
      <c r="BE2" s="29"/>
      <c r="BF2" s="29"/>
      <c r="BG2" s="29" t="s">
        <v>145</v>
      </c>
      <c r="BH2" s="29"/>
      <c r="BI2" s="29"/>
      <c r="BJ2" s="29"/>
      <c r="BK2" s="29"/>
      <c r="BL2" s="29"/>
      <c r="BM2" s="29"/>
      <c r="BN2" s="29" t="s">
        <v>146</v>
      </c>
      <c r="BO2" s="29"/>
      <c r="BP2" s="29"/>
      <c r="BQ2" s="29"/>
      <c r="BR2" s="29"/>
      <c r="BS2" s="29"/>
      <c r="BT2" s="29"/>
      <c r="BU2" s="29" t="s">
        <v>147</v>
      </c>
      <c r="BV2" s="29"/>
      <c r="BW2" s="29"/>
      <c r="BX2" s="29"/>
      <c r="BY2" s="29"/>
      <c r="BZ2" s="29"/>
      <c r="CA2" s="29"/>
      <c r="CB2" s="29" t="s">
        <v>148</v>
      </c>
      <c r="CC2" s="29"/>
      <c r="CD2" s="29"/>
      <c r="CE2" s="29"/>
      <c r="CF2" s="29"/>
      <c r="CG2" s="29"/>
      <c r="CH2" s="29"/>
      <c r="CI2" s="29" t="s">
        <v>149</v>
      </c>
      <c r="CJ2" s="29"/>
      <c r="CK2" s="29"/>
      <c r="CL2" s="29"/>
      <c r="CM2" s="29"/>
      <c r="CN2" s="29"/>
      <c r="CO2" s="29"/>
      <c r="CP2" s="29" t="s">
        <v>150</v>
      </c>
      <c r="CQ2" s="29"/>
      <c r="CR2" s="29"/>
      <c r="CS2" s="29"/>
      <c r="CT2" s="29"/>
      <c r="CU2" s="29"/>
      <c r="CV2" s="29"/>
      <c r="CW2" s="29" t="s">
        <v>151</v>
      </c>
      <c r="CX2" s="29"/>
      <c r="CY2" s="29"/>
      <c r="CZ2" s="29"/>
      <c r="DA2" s="29"/>
      <c r="DB2" s="29"/>
      <c r="DC2" s="29"/>
      <c r="DD2" s="29" t="s">
        <v>152</v>
      </c>
      <c r="DE2" s="29"/>
      <c r="DF2" s="29"/>
      <c r="DG2" s="29"/>
      <c r="DH2" s="29"/>
      <c r="DI2" s="29"/>
      <c r="DJ2" s="29"/>
      <c r="DK2" s="29" t="s">
        <v>153</v>
      </c>
      <c r="DL2" s="29"/>
      <c r="DM2" s="29"/>
      <c r="DN2" s="29"/>
      <c r="DO2" s="29"/>
      <c r="DP2" s="29"/>
      <c r="DQ2" s="29"/>
      <c r="DR2" s="29" t="s">
        <v>154</v>
      </c>
      <c r="DS2" s="29"/>
      <c r="DT2" s="29"/>
      <c r="DU2" s="29"/>
      <c r="DV2" s="29"/>
      <c r="DW2" s="29"/>
      <c r="DX2" s="29"/>
      <c r="DY2" s="29" t="s">
        <v>155</v>
      </c>
      <c r="DZ2" s="29"/>
      <c r="EA2" s="29"/>
      <c r="EB2" s="29"/>
      <c r="EC2" s="29"/>
      <c r="ED2" s="29"/>
      <c r="EE2" s="29"/>
      <c r="EF2" s="29" t="s">
        <v>156</v>
      </c>
      <c r="EG2" s="29"/>
      <c r="EH2" s="29"/>
      <c r="EI2" s="29"/>
      <c r="EJ2" s="29"/>
      <c r="EK2" s="29"/>
      <c r="EL2" s="29"/>
      <c r="EM2" s="29" t="s">
        <v>157</v>
      </c>
      <c r="EN2" s="29"/>
      <c r="EO2" s="29"/>
      <c r="EP2" s="29"/>
      <c r="EQ2" s="29"/>
      <c r="ER2" s="29"/>
      <c r="ES2" s="29"/>
      <c r="ET2" s="29" t="s">
        <v>158</v>
      </c>
      <c r="EU2" s="29"/>
      <c r="EV2" s="29"/>
      <c r="EW2" s="29"/>
      <c r="EX2" s="29"/>
      <c r="EY2" s="29"/>
      <c r="EZ2" s="29"/>
      <c r="FA2" s="29" t="s">
        <v>159</v>
      </c>
      <c r="FB2" s="29"/>
      <c r="FC2" s="29"/>
      <c r="FD2" s="29"/>
      <c r="FE2" s="29"/>
      <c r="FF2" s="29"/>
      <c r="FG2" s="29"/>
      <c r="FH2" s="29" t="s">
        <v>160</v>
      </c>
      <c r="FI2" s="29"/>
      <c r="FJ2" s="29"/>
      <c r="FK2" s="29"/>
      <c r="FL2" s="29"/>
      <c r="FM2" s="29"/>
      <c r="FN2" s="29"/>
      <c r="FO2" s="29" t="s">
        <v>161</v>
      </c>
      <c r="FP2" s="29"/>
      <c r="FQ2" s="29"/>
      <c r="FR2" s="29"/>
      <c r="FS2" s="29"/>
      <c r="FT2" s="29"/>
      <c r="FU2" s="29"/>
      <c r="FV2" s="29" t="s">
        <v>162</v>
      </c>
      <c r="FW2" s="29"/>
      <c r="FX2" s="29"/>
      <c r="FY2" s="29"/>
      <c r="FZ2" s="29"/>
      <c r="GA2" s="29"/>
      <c r="GB2" s="29"/>
      <c r="GC2" s="29" t="s">
        <v>163</v>
      </c>
      <c r="GD2" s="29"/>
      <c r="GE2" s="29"/>
      <c r="GF2" s="29"/>
      <c r="GG2" s="29"/>
      <c r="GH2" s="29"/>
      <c r="GI2" s="29"/>
      <c r="GJ2" s="29" t="s">
        <v>164</v>
      </c>
      <c r="GK2" s="29"/>
      <c r="GL2" s="29"/>
      <c r="GM2" s="29"/>
      <c r="GN2" s="29"/>
      <c r="GO2" s="29"/>
      <c r="GP2" s="29"/>
      <c r="GQ2" s="29" t="s">
        <v>165</v>
      </c>
      <c r="GR2" s="29"/>
      <c r="GS2" s="29"/>
      <c r="GT2" s="29"/>
    </row>
    <row r="3" spans="1:202" ht="13.5" customHeight="1" x14ac:dyDescent="0.25">
      <c r="A3" s="27"/>
      <c r="B3" s="27"/>
      <c r="C3" s="14">
        <v>15</v>
      </c>
      <c r="D3" s="14">
        <v>16</v>
      </c>
      <c r="E3" s="14">
        <v>17</v>
      </c>
      <c r="F3" s="14">
        <v>18</v>
      </c>
      <c r="G3" s="14">
        <v>19</v>
      </c>
      <c r="H3" s="14">
        <v>20</v>
      </c>
      <c r="I3" s="14">
        <v>21</v>
      </c>
      <c r="J3" s="14">
        <v>22</v>
      </c>
      <c r="K3" s="14">
        <v>23</v>
      </c>
      <c r="L3" s="14">
        <v>24</v>
      </c>
      <c r="M3" s="14">
        <v>25</v>
      </c>
      <c r="N3" s="14">
        <v>26</v>
      </c>
      <c r="O3" s="14">
        <v>27</v>
      </c>
      <c r="P3" s="14">
        <v>28</v>
      </c>
      <c r="Q3" s="14">
        <v>29</v>
      </c>
      <c r="R3" s="14">
        <v>30</v>
      </c>
      <c r="S3" s="14">
        <v>1</v>
      </c>
      <c r="T3" s="14">
        <v>2</v>
      </c>
      <c r="U3" s="14">
        <v>3</v>
      </c>
      <c r="V3" s="14">
        <v>4</v>
      </c>
      <c r="W3" s="14">
        <v>5</v>
      </c>
      <c r="X3" s="14">
        <v>6</v>
      </c>
      <c r="Y3" s="14">
        <v>7</v>
      </c>
      <c r="Z3" s="14">
        <v>8</v>
      </c>
      <c r="AA3" s="14">
        <v>9</v>
      </c>
      <c r="AB3" s="14">
        <v>10</v>
      </c>
      <c r="AC3" s="14">
        <v>11</v>
      </c>
      <c r="AD3" s="14">
        <v>12</v>
      </c>
      <c r="AE3" s="14">
        <v>13</v>
      </c>
      <c r="AF3" s="14">
        <v>14</v>
      </c>
      <c r="AG3" s="14">
        <v>15</v>
      </c>
      <c r="AH3" s="14">
        <v>16</v>
      </c>
      <c r="AI3" s="14">
        <v>17</v>
      </c>
      <c r="AJ3" s="14">
        <v>18</v>
      </c>
      <c r="AK3" s="14">
        <v>19</v>
      </c>
      <c r="AL3" s="14">
        <v>20</v>
      </c>
      <c r="AM3" s="14">
        <v>21</v>
      </c>
      <c r="AN3" s="14">
        <v>22</v>
      </c>
      <c r="AO3" s="14">
        <v>23</v>
      </c>
      <c r="AP3" s="14">
        <v>24</v>
      </c>
      <c r="AQ3" s="14">
        <v>25</v>
      </c>
      <c r="AR3" s="14">
        <v>26</v>
      </c>
      <c r="AS3" s="14">
        <v>27</v>
      </c>
      <c r="AT3" s="14">
        <v>28</v>
      </c>
      <c r="AU3" s="14">
        <v>29</v>
      </c>
      <c r="AV3" s="14">
        <v>30</v>
      </c>
      <c r="AW3" s="14">
        <v>31</v>
      </c>
      <c r="AX3" s="14">
        <v>1</v>
      </c>
      <c r="AY3" s="14">
        <v>2</v>
      </c>
      <c r="AZ3" s="14">
        <v>3</v>
      </c>
      <c r="BA3" s="14">
        <v>4</v>
      </c>
      <c r="BB3" s="14">
        <v>5</v>
      </c>
      <c r="BC3" s="14">
        <v>6</v>
      </c>
      <c r="BD3" s="14">
        <v>7</v>
      </c>
      <c r="BE3" s="14">
        <v>8</v>
      </c>
      <c r="BF3" s="14">
        <v>9</v>
      </c>
      <c r="BG3" s="14">
        <v>10</v>
      </c>
      <c r="BH3" s="14">
        <v>11</v>
      </c>
      <c r="BI3" s="14">
        <v>12</v>
      </c>
      <c r="BJ3" s="14">
        <v>13</v>
      </c>
      <c r="BK3" s="14">
        <v>14</v>
      </c>
      <c r="BL3" s="14">
        <v>15</v>
      </c>
      <c r="BM3" s="14">
        <v>16</v>
      </c>
      <c r="BN3" s="14">
        <v>17</v>
      </c>
      <c r="BO3" s="14">
        <v>18</v>
      </c>
      <c r="BP3" s="14">
        <v>19</v>
      </c>
      <c r="BQ3" s="14">
        <v>20</v>
      </c>
      <c r="BR3" s="14">
        <v>21</v>
      </c>
      <c r="BS3" s="14">
        <v>22</v>
      </c>
      <c r="BT3" s="14">
        <v>23</v>
      </c>
      <c r="BU3" s="14">
        <v>24</v>
      </c>
      <c r="BV3" s="14">
        <v>25</v>
      </c>
      <c r="BW3" s="14">
        <v>26</v>
      </c>
      <c r="BX3" s="14">
        <v>27</v>
      </c>
      <c r="BY3" s="14">
        <v>28</v>
      </c>
      <c r="BZ3" s="14">
        <v>29</v>
      </c>
      <c r="CA3" s="14">
        <v>30</v>
      </c>
      <c r="CB3" s="14">
        <v>31</v>
      </c>
      <c r="CC3" s="14">
        <v>1</v>
      </c>
      <c r="CD3" s="14">
        <v>2</v>
      </c>
      <c r="CE3" s="14">
        <v>3</v>
      </c>
      <c r="CF3" s="14">
        <v>4</v>
      </c>
      <c r="CG3" s="14">
        <v>5</v>
      </c>
      <c r="CH3" s="14">
        <v>6</v>
      </c>
      <c r="CI3" s="14">
        <v>7</v>
      </c>
      <c r="CJ3" s="14">
        <v>8</v>
      </c>
      <c r="CK3" s="14">
        <v>9</v>
      </c>
      <c r="CL3" s="14">
        <v>10</v>
      </c>
      <c r="CM3" s="14">
        <v>11</v>
      </c>
      <c r="CN3" s="14">
        <v>12</v>
      </c>
      <c r="CO3" s="14">
        <v>13</v>
      </c>
      <c r="CP3" s="14">
        <v>14</v>
      </c>
      <c r="CQ3" s="14">
        <v>15</v>
      </c>
      <c r="CR3" s="14">
        <v>16</v>
      </c>
      <c r="CS3" s="14">
        <v>17</v>
      </c>
      <c r="CT3" s="14">
        <v>18</v>
      </c>
      <c r="CU3" s="14">
        <v>19</v>
      </c>
      <c r="CV3" s="14">
        <v>20</v>
      </c>
      <c r="CW3" s="14">
        <v>21</v>
      </c>
      <c r="CX3" s="14">
        <v>22</v>
      </c>
      <c r="CY3" s="14">
        <v>23</v>
      </c>
      <c r="CZ3" s="14">
        <v>24</v>
      </c>
      <c r="DA3" s="14">
        <v>25</v>
      </c>
      <c r="DB3" s="14">
        <v>26</v>
      </c>
      <c r="DC3" s="14">
        <v>27</v>
      </c>
      <c r="DD3" s="14">
        <v>28</v>
      </c>
      <c r="DE3" s="14">
        <v>29</v>
      </c>
      <c r="DF3" s="14">
        <v>30</v>
      </c>
      <c r="DG3" s="14">
        <v>1</v>
      </c>
      <c r="DH3" s="14">
        <v>2</v>
      </c>
      <c r="DI3" s="14">
        <v>3</v>
      </c>
      <c r="DJ3" s="14">
        <v>4</v>
      </c>
      <c r="DK3" s="14">
        <v>5</v>
      </c>
      <c r="DL3" s="14">
        <v>6</v>
      </c>
      <c r="DM3" s="14">
        <v>7</v>
      </c>
      <c r="DN3" s="14">
        <v>8</v>
      </c>
      <c r="DO3" s="14">
        <v>9</v>
      </c>
      <c r="DP3" s="14">
        <v>10</v>
      </c>
      <c r="DQ3" s="14">
        <v>11</v>
      </c>
      <c r="DR3" s="14">
        <v>12</v>
      </c>
      <c r="DS3" s="14">
        <v>13</v>
      </c>
      <c r="DT3" s="14">
        <v>14</v>
      </c>
      <c r="DU3" s="14">
        <v>15</v>
      </c>
      <c r="DV3" s="14">
        <v>16</v>
      </c>
      <c r="DW3" s="14">
        <v>17</v>
      </c>
      <c r="DX3" s="14">
        <v>18</v>
      </c>
      <c r="DY3" s="14">
        <v>19</v>
      </c>
      <c r="DZ3" s="14">
        <v>20</v>
      </c>
      <c r="EA3" s="14">
        <v>21</v>
      </c>
      <c r="EB3" s="14">
        <v>22</v>
      </c>
      <c r="EC3" s="14">
        <v>23</v>
      </c>
      <c r="ED3" s="14">
        <v>24</v>
      </c>
      <c r="EE3" s="14">
        <v>25</v>
      </c>
      <c r="EF3" s="14">
        <v>26</v>
      </c>
      <c r="EG3" s="14">
        <v>27</v>
      </c>
      <c r="EH3" s="14">
        <v>28</v>
      </c>
      <c r="EI3" s="14">
        <v>29</v>
      </c>
      <c r="EJ3" s="14">
        <v>30</v>
      </c>
      <c r="EK3" s="14">
        <v>31</v>
      </c>
      <c r="EL3" s="14">
        <v>1</v>
      </c>
      <c r="EM3" s="14">
        <v>2</v>
      </c>
      <c r="EN3" s="14">
        <v>3</v>
      </c>
      <c r="EO3" s="14">
        <v>4</v>
      </c>
      <c r="EP3" s="14">
        <v>5</v>
      </c>
      <c r="EQ3" s="14">
        <v>6</v>
      </c>
      <c r="ER3" s="14">
        <v>7</v>
      </c>
      <c r="ES3" s="14">
        <v>8</v>
      </c>
      <c r="ET3" s="14">
        <v>9</v>
      </c>
      <c r="EU3" s="14">
        <v>10</v>
      </c>
      <c r="EV3" s="14">
        <v>11</v>
      </c>
      <c r="EW3" s="14">
        <v>12</v>
      </c>
      <c r="EX3" s="14">
        <v>13</v>
      </c>
      <c r="EY3" s="14">
        <v>14</v>
      </c>
      <c r="EZ3" s="14">
        <v>15</v>
      </c>
      <c r="FA3" s="14">
        <v>16</v>
      </c>
      <c r="FB3" s="14">
        <v>17</v>
      </c>
      <c r="FC3" s="14">
        <v>18</v>
      </c>
      <c r="FD3" s="14">
        <v>19</v>
      </c>
      <c r="FE3" s="14">
        <v>20</v>
      </c>
      <c r="FF3" s="14">
        <v>21</v>
      </c>
      <c r="FG3" s="14">
        <v>22</v>
      </c>
      <c r="FH3" s="14">
        <v>23</v>
      </c>
      <c r="FI3" s="14">
        <v>24</v>
      </c>
      <c r="FJ3" s="14">
        <v>25</v>
      </c>
      <c r="FK3" s="14">
        <v>26</v>
      </c>
      <c r="FL3" s="14">
        <v>27</v>
      </c>
      <c r="FM3" s="14">
        <v>28</v>
      </c>
      <c r="FN3" s="14">
        <v>29</v>
      </c>
      <c r="FO3" s="14">
        <v>30</v>
      </c>
      <c r="FP3" s="14">
        <v>1</v>
      </c>
      <c r="FQ3" s="14">
        <v>2</v>
      </c>
      <c r="FR3" s="14">
        <v>3</v>
      </c>
      <c r="FS3" s="14">
        <v>4</v>
      </c>
      <c r="FT3" s="14">
        <v>5</v>
      </c>
      <c r="FU3" s="14">
        <v>6</v>
      </c>
      <c r="FV3" s="14">
        <v>7</v>
      </c>
      <c r="FW3" s="14">
        <v>8</v>
      </c>
      <c r="FX3" s="14">
        <v>9</v>
      </c>
      <c r="FY3" s="14">
        <v>10</v>
      </c>
      <c r="FZ3" s="14">
        <v>11</v>
      </c>
      <c r="GA3" s="14">
        <v>12</v>
      </c>
      <c r="GB3" s="14">
        <v>13</v>
      </c>
      <c r="GC3" s="14">
        <v>14</v>
      </c>
      <c r="GD3" s="14">
        <v>15</v>
      </c>
      <c r="GE3" s="14">
        <v>16</v>
      </c>
      <c r="GF3" s="14">
        <v>17</v>
      </c>
      <c r="GG3" s="14">
        <v>18</v>
      </c>
      <c r="GH3" s="14">
        <v>19</v>
      </c>
      <c r="GI3" s="14">
        <v>20</v>
      </c>
      <c r="GJ3" s="14">
        <v>21</v>
      </c>
      <c r="GK3" s="14">
        <v>22</v>
      </c>
      <c r="GL3" s="14">
        <v>23</v>
      </c>
      <c r="GM3" s="14">
        <v>24</v>
      </c>
      <c r="GN3" s="14">
        <v>25</v>
      </c>
      <c r="GO3" s="14">
        <v>26</v>
      </c>
      <c r="GP3" s="14">
        <v>27</v>
      </c>
      <c r="GQ3" s="14">
        <v>28</v>
      </c>
      <c r="GR3" s="14">
        <v>29</v>
      </c>
      <c r="GS3" s="14">
        <v>30</v>
      </c>
      <c r="GT3" s="14">
        <v>31</v>
      </c>
    </row>
    <row r="4" spans="1:202" ht="12" customHeight="1" x14ac:dyDescent="0.25">
      <c r="A4" s="27"/>
      <c r="B4" s="27"/>
      <c r="C4" s="15" t="s">
        <v>166</v>
      </c>
      <c r="D4" s="15" t="s">
        <v>167</v>
      </c>
      <c r="E4" s="15" t="s">
        <v>168</v>
      </c>
      <c r="F4" s="15" t="s">
        <v>167</v>
      </c>
      <c r="G4" s="15" t="s">
        <v>169</v>
      </c>
      <c r="H4" s="15" t="s">
        <v>170</v>
      </c>
      <c r="I4" s="15" t="s">
        <v>170</v>
      </c>
      <c r="J4" s="15" t="s">
        <v>166</v>
      </c>
      <c r="K4" s="15" t="s">
        <v>167</v>
      </c>
      <c r="L4" s="15" t="s">
        <v>168</v>
      </c>
      <c r="M4" s="15" t="s">
        <v>167</v>
      </c>
      <c r="N4" s="15" t="s">
        <v>169</v>
      </c>
      <c r="O4" s="15" t="s">
        <v>170</v>
      </c>
      <c r="P4" s="15" t="s">
        <v>170</v>
      </c>
      <c r="Q4" s="15" t="s">
        <v>166</v>
      </c>
      <c r="R4" s="15" t="s">
        <v>167</v>
      </c>
      <c r="S4" s="15" t="s">
        <v>168</v>
      </c>
      <c r="T4" s="15" t="s">
        <v>167</v>
      </c>
      <c r="U4" s="15" t="s">
        <v>169</v>
      </c>
      <c r="V4" s="15" t="s">
        <v>170</v>
      </c>
      <c r="W4" s="15" t="s">
        <v>170</v>
      </c>
      <c r="X4" s="15" t="s">
        <v>166</v>
      </c>
      <c r="Y4" s="15" t="s">
        <v>167</v>
      </c>
      <c r="Z4" s="15" t="s">
        <v>168</v>
      </c>
      <c r="AA4" s="15" t="s">
        <v>167</v>
      </c>
      <c r="AB4" s="15" t="s">
        <v>169</v>
      </c>
      <c r="AC4" s="15" t="s">
        <v>170</v>
      </c>
      <c r="AD4" s="15" t="s">
        <v>170</v>
      </c>
      <c r="AE4" s="15" t="s">
        <v>166</v>
      </c>
      <c r="AF4" s="15" t="s">
        <v>167</v>
      </c>
      <c r="AG4" s="15" t="s">
        <v>168</v>
      </c>
      <c r="AH4" s="15" t="s">
        <v>167</v>
      </c>
      <c r="AI4" s="15" t="s">
        <v>169</v>
      </c>
      <c r="AJ4" s="15" t="s">
        <v>170</v>
      </c>
      <c r="AK4" s="15" t="s">
        <v>170</v>
      </c>
      <c r="AL4" s="15" t="s">
        <v>166</v>
      </c>
      <c r="AM4" s="15" t="s">
        <v>167</v>
      </c>
      <c r="AN4" s="15" t="s">
        <v>168</v>
      </c>
      <c r="AO4" s="15" t="s">
        <v>167</v>
      </c>
      <c r="AP4" s="15" t="s">
        <v>169</v>
      </c>
      <c r="AQ4" s="15" t="s">
        <v>170</v>
      </c>
      <c r="AR4" s="15" t="s">
        <v>170</v>
      </c>
      <c r="AS4" s="15" t="s">
        <v>166</v>
      </c>
      <c r="AT4" s="15" t="s">
        <v>167</v>
      </c>
      <c r="AU4" s="15" t="s">
        <v>168</v>
      </c>
      <c r="AV4" s="15" t="s">
        <v>167</v>
      </c>
      <c r="AW4" s="15" t="s">
        <v>169</v>
      </c>
      <c r="AX4" s="15" t="s">
        <v>170</v>
      </c>
      <c r="AY4" s="15" t="s">
        <v>170</v>
      </c>
      <c r="AZ4" s="15" t="s">
        <v>166</v>
      </c>
      <c r="BA4" s="15" t="s">
        <v>167</v>
      </c>
      <c r="BB4" s="15" t="s">
        <v>168</v>
      </c>
      <c r="BC4" s="15" t="s">
        <v>167</v>
      </c>
      <c r="BD4" s="15" t="s">
        <v>169</v>
      </c>
      <c r="BE4" s="15" t="s">
        <v>170</v>
      </c>
      <c r="BF4" s="15" t="s">
        <v>170</v>
      </c>
      <c r="BG4" s="15" t="s">
        <v>166</v>
      </c>
      <c r="BH4" s="15" t="s">
        <v>167</v>
      </c>
      <c r="BI4" s="15" t="s">
        <v>168</v>
      </c>
      <c r="BJ4" s="15" t="s">
        <v>167</v>
      </c>
      <c r="BK4" s="15" t="s">
        <v>169</v>
      </c>
      <c r="BL4" s="15" t="s">
        <v>170</v>
      </c>
      <c r="BM4" s="15" t="s">
        <v>170</v>
      </c>
      <c r="BN4" s="15" t="s">
        <v>166</v>
      </c>
      <c r="BO4" s="15" t="s">
        <v>167</v>
      </c>
      <c r="BP4" s="15" t="s">
        <v>168</v>
      </c>
      <c r="BQ4" s="15" t="s">
        <v>167</v>
      </c>
      <c r="BR4" s="15" t="s">
        <v>169</v>
      </c>
      <c r="BS4" s="15" t="s">
        <v>170</v>
      </c>
      <c r="BT4" s="15" t="s">
        <v>170</v>
      </c>
      <c r="BU4" s="15" t="s">
        <v>166</v>
      </c>
      <c r="BV4" s="15" t="s">
        <v>167</v>
      </c>
      <c r="BW4" s="15" t="s">
        <v>168</v>
      </c>
      <c r="BX4" s="15" t="s">
        <v>167</v>
      </c>
      <c r="BY4" s="15" t="s">
        <v>169</v>
      </c>
      <c r="BZ4" s="15" t="s">
        <v>170</v>
      </c>
      <c r="CA4" s="15" t="s">
        <v>170</v>
      </c>
      <c r="CB4" s="15" t="s">
        <v>166</v>
      </c>
      <c r="CC4" s="15" t="s">
        <v>167</v>
      </c>
      <c r="CD4" s="15" t="s">
        <v>168</v>
      </c>
      <c r="CE4" s="15" t="s">
        <v>167</v>
      </c>
      <c r="CF4" s="15" t="s">
        <v>169</v>
      </c>
      <c r="CG4" s="15" t="s">
        <v>170</v>
      </c>
      <c r="CH4" s="15" t="s">
        <v>170</v>
      </c>
      <c r="CI4" s="15" t="s">
        <v>166</v>
      </c>
      <c r="CJ4" s="15" t="s">
        <v>167</v>
      </c>
      <c r="CK4" s="15" t="s">
        <v>168</v>
      </c>
      <c r="CL4" s="15" t="s">
        <v>167</v>
      </c>
      <c r="CM4" s="15" t="s">
        <v>169</v>
      </c>
      <c r="CN4" s="15" t="s">
        <v>170</v>
      </c>
      <c r="CO4" s="15" t="s">
        <v>170</v>
      </c>
      <c r="CP4" s="15" t="s">
        <v>166</v>
      </c>
      <c r="CQ4" s="15" t="s">
        <v>167</v>
      </c>
      <c r="CR4" s="15" t="s">
        <v>168</v>
      </c>
      <c r="CS4" s="15" t="s">
        <v>167</v>
      </c>
      <c r="CT4" s="15" t="s">
        <v>169</v>
      </c>
      <c r="CU4" s="15" t="s">
        <v>170</v>
      </c>
      <c r="CV4" s="15" t="s">
        <v>170</v>
      </c>
      <c r="CW4" s="15" t="s">
        <v>166</v>
      </c>
      <c r="CX4" s="15" t="s">
        <v>167</v>
      </c>
      <c r="CY4" s="15" t="s">
        <v>168</v>
      </c>
      <c r="CZ4" s="15" t="s">
        <v>167</v>
      </c>
      <c r="DA4" s="15" t="s">
        <v>169</v>
      </c>
      <c r="DB4" s="15" t="s">
        <v>170</v>
      </c>
      <c r="DC4" s="15" t="s">
        <v>170</v>
      </c>
      <c r="DD4" s="15" t="s">
        <v>166</v>
      </c>
      <c r="DE4" s="15" t="s">
        <v>167</v>
      </c>
      <c r="DF4" s="15" t="s">
        <v>168</v>
      </c>
      <c r="DG4" s="15" t="s">
        <v>167</v>
      </c>
      <c r="DH4" s="15" t="s">
        <v>169</v>
      </c>
      <c r="DI4" s="15" t="s">
        <v>170</v>
      </c>
      <c r="DJ4" s="15" t="s">
        <v>170</v>
      </c>
      <c r="DK4" s="15" t="s">
        <v>166</v>
      </c>
      <c r="DL4" s="15" t="s">
        <v>167</v>
      </c>
      <c r="DM4" s="15" t="s">
        <v>168</v>
      </c>
      <c r="DN4" s="15" t="s">
        <v>167</v>
      </c>
      <c r="DO4" s="15" t="s">
        <v>169</v>
      </c>
      <c r="DP4" s="15" t="s">
        <v>170</v>
      </c>
      <c r="DQ4" s="15" t="s">
        <v>170</v>
      </c>
      <c r="DR4" s="15" t="s">
        <v>166</v>
      </c>
      <c r="DS4" s="15" t="s">
        <v>167</v>
      </c>
      <c r="DT4" s="15" t="s">
        <v>168</v>
      </c>
      <c r="DU4" s="15" t="s">
        <v>167</v>
      </c>
      <c r="DV4" s="15" t="s">
        <v>169</v>
      </c>
      <c r="DW4" s="15" t="s">
        <v>170</v>
      </c>
      <c r="DX4" s="15" t="s">
        <v>170</v>
      </c>
      <c r="DY4" s="15" t="s">
        <v>166</v>
      </c>
      <c r="DZ4" s="15" t="s">
        <v>167</v>
      </c>
      <c r="EA4" s="15" t="s">
        <v>168</v>
      </c>
      <c r="EB4" s="15" t="s">
        <v>167</v>
      </c>
      <c r="EC4" s="15" t="s">
        <v>169</v>
      </c>
      <c r="ED4" s="15" t="s">
        <v>170</v>
      </c>
      <c r="EE4" s="15" t="s">
        <v>170</v>
      </c>
      <c r="EF4" s="15" t="s">
        <v>166</v>
      </c>
      <c r="EG4" s="15" t="s">
        <v>167</v>
      </c>
      <c r="EH4" s="15" t="s">
        <v>168</v>
      </c>
      <c r="EI4" s="15" t="s">
        <v>167</v>
      </c>
      <c r="EJ4" s="15" t="s">
        <v>169</v>
      </c>
      <c r="EK4" s="15" t="s">
        <v>170</v>
      </c>
      <c r="EL4" s="15" t="s">
        <v>170</v>
      </c>
      <c r="EM4" s="15" t="s">
        <v>166</v>
      </c>
      <c r="EN4" s="15" t="s">
        <v>167</v>
      </c>
      <c r="EO4" s="15" t="s">
        <v>168</v>
      </c>
      <c r="EP4" s="15" t="s">
        <v>167</v>
      </c>
      <c r="EQ4" s="15" t="s">
        <v>169</v>
      </c>
      <c r="ER4" s="15" t="s">
        <v>170</v>
      </c>
      <c r="ES4" s="15" t="s">
        <v>170</v>
      </c>
      <c r="ET4" s="15" t="s">
        <v>166</v>
      </c>
      <c r="EU4" s="15" t="s">
        <v>167</v>
      </c>
      <c r="EV4" s="15" t="s">
        <v>168</v>
      </c>
      <c r="EW4" s="15" t="s">
        <v>167</v>
      </c>
      <c r="EX4" s="15" t="s">
        <v>169</v>
      </c>
      <c r="EY4" s="15" t="s">
        <v>170</v>
      </c>
      <c r="EZ4" s="15" t="s">
        <v>170</v>
      </c>
      <c r="FA4" s="15" t="s">
        <v>166</v>
      </c>
      <c r="FB4" s="15" t="s">
        <v>167</v>
      </c>
      <c r="FC4" s="15" t="s">
        <v>168</v>
      </c>
      <c r="FD4" s="15" t="s">
        <v>167</v>
      </c>
      <c r="FE4" s="15" t="s">
        <v>169</v>
      </c>
      <c r="FF4" s="15" t="s">
        <v>170</v>
      </c>
      <c r="FG4" s="15" t="s">
        <v>170</v>
      </c>
      <c r="FH4" s="15" t="s">
        <v>166</v>
      </c>
      <c r="FI4" s="15" t="s">
        <v>167</v>
      </c>
      <c r="FJ4" s="15" t="s">
        <v>168</v>
      </c>
      <c r="FK4" s="15" t="s">
        <v>167</v>
      </c>
      <c r="FL4" s="15" t="s">
        <v>169</v>
      </c>
      <c r="FM4" s="15" t="s">
        <v>170</v>
      </c>
      <c r="FN4" s="15" t="s">
        <v>170</v>
      </c>
      <c r="FO4" s="15" t="s">
        <v>166</v>
      </c>
      <c r="FP4" s="15" t="s">
        <v>167</v>
      </c>
      <c r="FQ4" s="15" t="s">
        <v>168</v>
      </c>
      <c r="FR4" s="15" t="s">
        <v>167</v>
      </c>
      <c r="FS4" s="15" t="s">
        <v>169</v>
      </c>
      <c r="FT4" s="15" t="s">
        <v>170</v>
      </c>
      <c r="FU4" s="15" t="s">
        <v>170</v>
      </c>
      <c r="FV4" s="15" t="s">
        <v>166</v>
      </c>
      <c r="FW4" s="15" t="s">
        <v>167</v>
      </c>
      <c r="FX4" s="15" t="s">
        <v>168</v>
      </c>
      <c r="FY4" s="15" t="s">
        <v>167</v>
      </c>
      <c r="FZ4" s="15" t="s">
        <v>169</v>
      </c>
      <c r="GA4" s="15" t="s">
        <v>170</v>
      </c>
      <c r="GB4" s="15" t="s">
        <v>170</v>
      </c>
      <c r="GC4" s="15" t="s">
        <v>166</v>
      </c>
      <c r="GD4" s="15" t="s">
        <v>167</v>
      </c>
      <c r="GE4" s="15" t="s">
        <v>168</v>
      </c>
      <c r="GF4" s="15" t="s">
        <v>167</v>
      </c>
      <c r="GG4" s="15" t="s">
        <v>169</v>
      </c>
      <c r="GH4" s="15" t="s">
        <v>170</v>
      </c>
      <c r="GI4" s="15" t="s">
        <v>170</v>
      </c>
      <c r="GJ4" s="15" t="s">
        <v>166</v>
      </c>
      <c r="GK4" s="15" t="s">
        <v>167</v>
      </c>
      <c r="GL4" s="15" t="s">
        <v>168</v>
      </c>
      <c r="GM4" s="15" t="s">
        <v>167</v>
      </c>
      <c r="GN4" s="15" t="s">
        <v>169</v>
      </c>
      <c r="GO4" s="15" t="s">
        <v>170</v>
      </c>
      <c r="GP4" s="15" t="s">
        <v>170</v>
      </c>
      <c r="GQ4" s="15" t="s">
        <v>166</v>
      </c>
      <c r="GR4" s="15" t="s">
        <v>167</v>
      </c>
      <c r="GS4" s="15" t="s">
        <v>168</v>
      </c>
      <c r="GT4" s="15" t="s">
        <v>167</v>
      </c>
    </row>
    <row r="5" spans="1:202" ht="15" customHeight="1" x14ac:dyDescent="0.25">
      <c r="A5" s="16" t="s">
        <v>40</v>
      </c>
      <c r="B5" s="17" t="s">
        <v>41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 t="s">
        <v>124</v>
      </c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 t="s">
        <v>124</v>
      </c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 t="s">
        <v>124</v>
      </c>
      <c r="FL5" s="18" t="s">
        <v>124</v>
      </c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 t="s">
        <v>124</v>
      </c>
      <c r="GO5" s="18"/>
      <c r="GP5" s="18"/>
      <c r="GQ5" s="18"/>
      <c r="GR5" s="18"/>
      <c r="GS5" s="18"/>
      <c r="GT5" s="18"/>
    </row>
    <row r="6" spans="1:202" ht="15" customHeight="1" x14ac:dyDescent="0.25">
      <c r="A6" s="16" t="s">
        <v>44</v>
      </c>
      <c r="B6" s="17" t="s">
        <v>45</v>
      </c>
      <c r="C6" s="18" t="s">
        <v>196</v>
      </c>
      <c r="D6" s="18" t="s">
        <v>196</v>
      </c>
      <c r="E6" s="18" t="s">
        <v>196</v>
      </c>
      <c r="F6" s="18" t="s">
        <v>108</v>
      </c>
      <c r="G6" s="18" t="s">
        <v>196</v>
      </c>
      <c r="H6" s="18"/>
      <c r="I6" s="18"/>
      <c r="J6" s="18" t="s">
        <v>196</v>
      </c>
      <c r="K6" s="18" t="s">
        <v>196</v>
      </c>
      <c r="L6" s="18" t="s">
        <v>196</v>
      </c>
      <c r="M6" s="18" t="s">
        <v>196</v>
      </c>
      <c r="N6" s="18" t="s">
        <v>196</v>
      </c>
      <c r="O6" s="18"/>
      <c r="P6" s="18"/>
      <c r="Q6" s="18"/>
      <c r="R6" s="18"/>
      <c r="S6" s="18"/>
      <c r="T6" s="18"/>
      <c r="U6" s="18" t="s">
        <v>124</v>
      </c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 t="s">
        <v>124</v>
      </c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 t="s">
        <v>124</v>
      </c>
      <c r="FL6" s="18" t="s">
        <v>124</v>
      </c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 t="s">
        <v>124</v>
      </c>
      <c r="GO6" s="18"/>
      <c r="GP6" s="18"/>
      <c r="GQ6" s="18"/>
      <c r="GR6" s="18"/>
      <c r="GS6" s="18"/>
      <c r="GT6" s="18"/>
    </row>
    <row r="7" spans="1:202" ht="15" customHeight="1" x14ac:dyDescent="0.25">
      <c r="A7" s="16" t="s">
        <v>47</v>
      </c>
      <c r="B7" s="17" t="s">
        <v>48</v>
      </c>
      <c r="C7" s="18" t="s">
        <v>184</v>
      </c>
      <c r="D7" s="18" t="s">
        <v>184</v>
      </c>
      <c r="E7" s="18" t="s">
        <v>184</v>
      </c>
      <c r="F7" s="18" t="s">
        <v>184</v>
      </c>
      <c r="G7" s="18" t="s">
        <v>184</v>
      </c>
      <c r="H7" s="18"/>
      <c r="I7" s="18"/>
      <c r="J7" s="18" t="s">
        <v>184</v>
      </c>
      <c r="K7" s="18" t="s">
        <v>184</v>
      </c>
      <c r="L7" s="18" t="s">
        <v>184</v>
      </c>
      <c r="M7" s="18" t="s">
        <v>184</v>
      </c>
      <c r="N7" s="18" t="s">
        <v>184</v>
      </c>
      <c r="O7" s="18"/>
      <c r="P7" s="18"/>
      <c r="Q7" s="18"/>
      <c r="R7" s="18"/>
      <c r="S7" s="18"/>
      <c r="T7" s="18"/>
      <c r="U7" s="18" t="s">
        <v>124</v>
      </c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 t="s">
        <v>124</v>
      </c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 t="s">
        <v>124</v>
      </c>
      <c r="FL7" s="18" t="s">
        <v>124</v>
      </c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 t="s">
        <v>124</v>
      </c>
      <c r="GO7" s="18"/>
      <c r="GP7" s="18"/>
      <c r="GQ7" s="18"/>
      <c r="GR7" s="18"/>
      <c r="GS7" s="18"/>
      <c r="GT7" s="18"/>
    </row>
    <row r="8" spans="1:202" ht="15" customHeight="1" x14ac:dyDescent="0.25">
      <c r="A8" s="16" t="s">
        <v>50</v>
      </c>
      <c r="B8" s="17" t="s">
        <v>51</v>
      </c>
      <c r="C8" s="18" t="s">
        <v>87</v>
      </c>
      <c r="D8" s="18" t="s">
        <v>87</v>
      </c>
      <c r="E8" s="18"/>
      <c r="F8" s="18" t="s">
        <v>122</v>
      </c>
      <c r="G8" s="18" t="s">
        <v>122</v>
      </c>
      <c r="H8" s="18"/>
      <c r="I8" s="18"/>
      <c r="J8" s="18" t="s">
        <v>122</v>
      </c>
      <c r="K8" s="18" t="s">
        <v>122</v>
      </c>
      <c r="L8" s="18" t="s">
        <v>84</v>
      </c>
      <c r="M8" s="23" t="s">
        <v>84</v>
      </c>
      <c r="N8" s="23" t="s">
        <v>84</v>
      </c>
      <c r="O8" s="18"/>
      <c r="P8" s="18"/>
      <c r="Q8" s="23" t="s">
        <v>84</v>
      </c>
      <c r="R8" s="18" t="s">
        <v>84</v>
      </c>
      <c r="S8" s="23" t="s">
        <v>84</v>
      </c>
      <c r="T8" s="23" t="s">
        <v>84</v>
      </c>
      <c r="U8" s="18" t="s">
        <v>124</v>
      </c>
      <c r="V8" s="18"/>
      <c r="W8" s="18"/>
      <c r="X8" s="23" t="s">
        <v>84</v>
      </c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 t="s">
        <v>124</v>
      </c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 t="s">
        <v>124</v>
      </c>
      <c r="FL8" s="18" t="s">
        <v>124</v>
      </c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 t="s">
        <v>124</v>
      </c>
      <c r="GO8" s="18"/>
      <c r="GP8" s="18"/>
      <c r="GQ8" s="18"/>
      <c r="GR8" s="18"/>
      <c r="GS8" s="18"/>
      <c r="GT8" s="18"/>
    </row>
    <row r="9" spans="1:202" ht="15" customHeight="1" x14ac:dyDescent="0.25">
      <c r="A9" s="16" t="s">
        <v>53</v>
      </c>
      <c r="B9" s="17" t="s">
        <v>48</v>
      </c>
      <c r="C9" s="18" t="s">
        <v>182</v>
      </c>
      <c r="D9" s="18" t="s">
        <v>182</v>
      </c>
      <c r="E9" s="18" t="s">
        <v>182</v>
      </c>
      <c r="F9" s="18" t="s">
        <v>182</v>
      </c>
      <c r="G9" s="18" t="s">
        <v>182</v>
      </c>
      <c r="H9" s="18"/>
      <c r="I9" s="18"/>
      <c r="J9" s="18" t="s">
        <v>182</v>
      </c>
      <c r="K9" s="18" t="s">
        <v>182</v>
      </c>
      <c r="L9" s="18" t="s">
        <v>182</v>
      </c>
      <c r="M9" s="18" t="s">
        <v>182</v>
      </c>
      <c r="N9" s="18" t="s">
        <v>182</v>
      </c>
      <c r="O9" s="18"/>
      <c r="P9" s="18"/>
      <c r="Q9" s="18" t="s">
        <v>182</v>
      </c>
      <c r="R9" s="18" t="s">
        <v>182</v>
      </c>
      <c r="S9" s="18" t="s">
        <v>182</v>
      </c>
      <c r="T9" s="18" t="s">
        <v>182</v>
      </c>
      <c r="U9" s="18" t="s">
        <v>124</v>
      </c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 t="s">
        <v>124</v>
      </c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 t="s">
        <v>124</v>
      </c>
      <c r="FL9" s="18" t="s">
        <v>124</v>
      </c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 t="s">
        <v>124</v>
      </c>
      <c r="GO9" s="18"/>
      <c r="GP9" s="18"/>
      <c r="GQ9" s="18"/>
      <c r="GR9" s="18"/>
      <c r="GS9" s="18"/>
      <c r="GT9" s="18"/>
    </row>
    <row r="10" spans="1:202" ht="15" customHeight="1" x14ac:dyDescent="0.25">
      <c r="A10" s="16" t="s">
        <v>55</v>
      </c>
      <c r="B10" s="17" t="s">
        <v>48</v>
      </c>
      <c r="C10" s="18" t="s">
        <v>90</v>
      </c>
      <c r="D10" s="18" t="s">
        <v>90</v>
      </c>
      <c r="E10" s="18" t="s">
        <v>90</v>
      </c>
      <c r="F10" s="18" t="s">
        <v>90</v>
      </c>
      <c r="G10" s="18" t="s">
        <v>90</v>
      </c>
      <c r="H10" s="18"/>
      <c r="I10" s="18"/>
      <c r="J10" s="18" t="s">
        <v>191</v>
      </c>
      <c r="K10" s="18" t="s">
        <v>120</v>
      </c>
      <c r="L10" s="18" t="s">
        <v>90</v>
      </c>
      <c r="M10" s="18" t="s">
        <v>90</v>
      </c>
      <c r="N10" s="18" t="s">
        <v>90</v>
      </c>
      <c r="O10" s="18"/>
      <c r="P10" s="18"/>
      <c r="Q10" s="18"/>
      <c r="R10" s="18"/>
      <c r="S10" s="18"/>
      <c r="T10" s="18"/>
      <c r="U10" s="18" t="s">
        <v>124</v>
      </c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 t="s">
        <v>124</v>
      </c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 t="s">
        <v>124</v>
      </c>
      <c r="FL10" s="18" t="s">
        <v>124</v>
      </c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 t="s">
        <v>124</v>
      </c>
      <c r="GO10" s="18"/>
      <c r="GP10" s="18"/>
      <c r="GQ10" s="18"/>
      <c r="GR10" s="18"/>
      <c r="GS10" s="18"/>
      <c r="GT10" s="18"/>
    </row>
    <row r="11" spans="1:202" ht="15" customHeight="1" x14ac:dyDescent="0.25">
      <c r="A11" s="16" t="s">
        <v>171</v>
      </c>
      <c r="B11" s="17" t="s">
        <v>45</v>
      </c>
      <c r="C11" s="18" t="s">
        <v>84</v>
      </c>
      <c r="D11" s="18" t="s">
        <v>199</v>
      </c>
      <c r="E11" s="23" t="s">
        <v>84</v>
      </c>
      <c r="F11" s="18" t="s">
        <v>84</v>
      </c>
      <c r="G11" s="23" t="s">
        <v>84</v>
      </c>
      <c r="H11" s="18"/>
      <c r="I11" s="18"/>
      <c r="J11" s="23" t="s">
        <v>84</v>
      </c>
      <c r="K11" s="18" t="s">
        <v>84</v>
      </c>
      <c r="L11" s="23" t="s">
        <v>84</v>
      </c>
      <c r="M11" s="18" t="s">
        <v>122</v>
      </c>
      <c r="N11" s="18" t="s">
        <v>122</v>
      </c>
      <c r="O11" s="18"/>
      <c r="P11" s="18"/>
      <c r="Q11" s="18" t="s">
        <v>122</v>
      </c>
      <c r="R11" s="18" t="s">
        <v>122</v>
      </c>
      <c r="S11" s="18" t="s">
        <v>122</v>
      </c>
      <c r="T11" s="18" t="s">
        <v>122</v>
      </c>
      <c r="U11" s="18" t="s">
        <v>124</v>
      </c>
      <c r="V11" s="18"/>
      <c r="W11" s="18"/>
      <c r="X11" s="18" t="s">
        <v>122</v>
      </c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 t="s">
        <v>122</v>
      </c>
      <c r="BZ11" s="18"/>
      <c r="CA11" s="18"/>
      <c r="CB11" s="18" t="s">
        <v>122</v>
      </c>
      <c r="CC11" s="18" t="s">
        <v>122</v>
      </c>
      <c r="CD11" s="18" t="s">
        <v>122</v>
      </c>
      <c r="CE11" s="18" t="s">
        <v>122</v>
      </c>
      <c r="CF11" s="18" t="s">
        <v>122</v>
      </c>
      <c r="CG11" s="18"/>
      <c r="CH11" s="18"/>
      <c r="CI11" s="18" t="s">
        <v>124</v>
      </c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 t="s">
        <v>124</v>
      </c>
      <c r="FL11" s="18" t="s">
        <v>124</v>
      </c>
      <c r="FM11" s="18"/>
      <c r="FN11" s="18"/>
      <c r="FO11" s="18"/>
      <c r="FP11" s="18"/>
      <c r="FQ11" s="18"/>
      <c r="FR11" s="18"/>
      <c r="FS11" s="18" t="s">
        <v>122</v>
      </c>
      <c r="FT11" s="18"/>
      <c r="FU11" s="18"/>
      <c r="FV11" s="18" t="s">
        <v>122</v>
      </c>
      <c r="FW11" s="18" t="s">
        <v>122</v>
      </c>
      <c r="FX11" s="18" t="s">
        <v>122</v>
      </c>
      <c r="FY11" s="18" t="s">
        <v>122</v>
      </c>
      <c r="FZ11" s="18" t="s">
        <v>122</v>
      </c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 t="s">
        <v>124</v>
      </c>
      <c r="GO11" s="18"/>
      <c r="GP11" s="18"/>
      <c r="GQ11" s="18"/>
      <c r="GR11" s="18"/>
      <c r="GS11" s="18"/>
      <c r="GT11" s="18"/>
    </row>
    <row r="12" spans="1:202" ht="15" customHeight="1" x14ac:dyDescent="0.25">
      <c r="A12" s="16" t="s">
        <v>222</v>
      </c>
      <c r="B12" s="17" t="s">
        <v>48</v>
      </c>
      <c r="C12" s="23" t="s">
        <v>105</v>
      </c>
      <c r="D12" s="23" t="s">
        <v>190</v>
      </c>
      <c r="E12" s="23" t="s">
        <v>105</v>
      </c>
      <c r="F12" s="23" t="s">
        <v>190</v>
      </c>
      <c r="G12" s="23" t="s">
        <v>105</v>
      </c>
      <c r="H12" s="18"/>
      <c r="I12" s="18"/>
      <c r="J12" s="23" t="s">
        <v>105</v>
      </c>
      <c r="K12" s="23" t="s">
        <v>105</v>
      </c>
      <c r="L12" s="23" t="s">
        <v>105</v>
      </c>
      <c r="M12" s="23" t="s">
        <v>190</v>
      </c>
      <c r="N12" s="23" t="s">
        <v>105</v>
      </c>
      <c r="O12" s="18"/>
      <c r="P12" s="18"/>
      <c r="Q12" s="23" t="s">
        <v>105</v>
      </c>
      <c r="R12" s="23" t="s">
        <v>190</v>
      </c>
      <c r="S12" s="23" t="s">
        <v>105</v>
      </c>
      <c r="T12" s="23" t="s">
        <v>190</v>
      </c>
      <c r="U12" s="18" t="s">
        <v>124</v>
      </c>
      <c r="V12" s="18"/>
      <c r="W12" s="18"/>
      <c r="X12" s="23" t="s">
        <v>105</v>
      </c>
      <c r="Y12" s="23" t="s">
        <v>190</v>
      </c>
      <c r="Z12" s="23" t="s">
        <v>105</v>
      </c>
      <c r="AA12" s="23" t="s">
        <v>190</v>
      </c>
      <c r="AB12" s="23" t="s">
        <v>105</v>
      </c>
      <c r="AC12" s="18"/>
      <c r="AD12" s="18"/>
      <c r="AE12" s="23" t="s">
        <v>105</v>
      </c>
      <c r="AF12" s="23" t="s">
        <v>180</v>
      </c>
      <c r="AG12" s="23" t="s">
        <v>105</v>
      </c>
      <c r="AH12" s="23" t="s">
        <v>180</v>
      </c>
      <c r="AI12" s="23" t="s">
        <v>105</v>
      </c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 t="s">
        <v>124</v>
      </c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 t="s">
        <v>124</v>
      </c>
      <c r="FL12" s="18" t="s">
        <v>124</v>
      </c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 t="s">
        <v>124</v>
      </c>
      <c r="GO12" s="18"/>
      <c r="GP12" s="18"/>
      <c r="GQ12" s="18"/>
      <c r="GR12" s="18"/>
      <c r="GS12" s="18"/>
      <c r="GT12" s="18"/>
    </row>
    <row r="13" spans="1:202" ht="15" customHeight="1" x14ac:dyDescent="0.25">
      <c r="A13" s="16" t="s">
        <v>58</v>
      </c>
      <c r="B13" s="17" t="s">
        <v>59</v>
      </c>
      <c r="C13" s="18" t="s">
        <v>183</v>
      </c>
      <c r="D13" s="18" t="s">
        <v>183</v>
      </c>
      <c r="E13" s="23" t="s">
        <v>183</v>
      </c>
      <c r="F13" s="18" t="s">
        <v>216</v>
      </c>
      <c r="G13" s="18" t="s">
        <v>122</v>
      </c>
      <c r="H13" s="18"/>
      <c r="I13" s="18"/>
      <c r="J13" s="18" t="s">
        <v>183</v>
      </c>
      <c r="K13" s="18" t="s">
        <v>183</v>
      </c>
      <c r="L13" s="23" t="s">
        <v>183</v>
      </c>
      <c r="M13" s="18" t="s">
        <v>183</v>
      </c>
      <c r="N13" s="23" t="s">
        <v>183</v>
      </c>
      <c r="O13" s="18"/>
      <c r="P13" s="18"/>
      <c r="Q13" s="18"/>
      <c r="R13" s="18"/>
      <c r="S13" s="18"/>
      <c r="T13" s="18"/>
      <c r="U13" s="18" t="s">
        <v>124</v>
      </c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 t="s">
        <v>124</v>
      </c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 t="s">
        <v>124</v>
      </c>
      <c r="FL13" s="18" t="s">
        <v>124</v>
      </c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 t="s">
        <v>124</v>
      </c>
      <c r="GO13" s="18"/>
      <c r="GP13" s="18"/>
      <c r="GQ13" s="18"/>
      <c r="GR13" s="18"/>
      <c r="GS13" s="18"/>
      <c r="GT13" s="18"/>
    </row>
    <row r="14" spans="1:202" ht="15" customHeight="1" x14ac:dyDescent="0.25">
      <c r="A14" s="16" t="s">
        <v>60</v>
      </c>
      <c r="B14" s="17" t="s">
        <v>48</v>
      </c>
      <c r="C14" s="18" t="s">
        <v>183</v>
      </c>
      <c r="D14" s="18" t="s">
        <v>122</v>
      </c>
      <c r="E14" s="18" t="s">
        <v>122</v>
      </c>
      <c r="F14" s="18" t="s">
        <v>120</v>
      </c>
      <c r="G14" s="18" t="s">
        <v>183</v>
      </c>
      <c r="H14" s="18"/>
      <c r="I14" s="18"/>
      <c r="J14" s="18" t="s">
        <v>183</v>
      </c>
      <c r="K14" s="18" t="s">
        <v>183</v>
      </c>
      <c r="L14" s="23" t="s">
        <v>183</v>
      </c>
      <c r="M14" s="18" t="s">
        <v>183</v>
      </c>
      <c r="N14" s="23" t="s">
        <v>183</v>
      </c>
      <c r="O14" s="18"/>
      <c r="P14" s="18"/>
      <c r="Q14" s="18" t="s">
        <v>183</v>
      </c>
      <c r="R14" s="23" t="s">
        <v>183</v>
      </c>
      <c r="S14" s="18" t="s">
        <v>183</v>
      </c>
      <c r="T14" s="23" t="s">
        <v>183</v>
      </c>
      <c r="U14" s="18" t="s">
        <v>124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 t="s">
        <v>124</v>
      </c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 t="s">
        <v>124</v>
      </c>
      <c r="FL14" s="18" t="s">
        <v>124</v>
      </c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 t="s">
        <v>124</v>
      </c>
      <c r="GO14" s="18"/>
      <c r="GP14" s="18"/>
      <c r="GQ14" s="18"/>
      <c r="GR14" s="18"/>
      <c r="GS14" s="18"/>
      <c r="GT14" s="18"/>
    </row>
    <row r="15" spans="1:202" ht="15" customHeight="1" x14ac:dyDescent="0.25">
      <c r="A15" s="16" t="s">
        <v>61</v>
      </c>
      <c r="B15" s="17" t="s">
        <v>48</v>
      </c>
      <c r="C15" s="18" t="s">
        <v>182</v>
      </c>
      <c r="D15" s="18" t="s">
        <v>182</v>
      </c>
      <c r="E15" s="18" t="s">
        <v>182</v>
      </c>
      <c r="F15" s="18" t="s">
        <v>182</v>
      </c>
      <c r="G15" s="18" t="s">
        <v>182</v>
      </c>
      <c r="H15" s="18"/>
      <c r="I15" s="18"/>
      <c r="J15" s="18" t="s">
        <v>223</v>
      </c>
      <c r="K15" s="18" t="s">
        <v>223</v>
      </c>
      <c r="L15" s="18" t="s">
        <v>223</v>
      </c>
      <c r="M15" s="18" t="s">
        <v>182</v>
      </c>
      <c r="N15" s="18" t="s">
        <v>122</v>
      </c>
      <c r="O15" s="18"/>
      <c r="P15" s="18"/>
      <c r="Q15" s="18" t="s">
        <v>182</v>
      </c>
      <c r="R15" s="18" t="s">
        <v>182</v>
      </c>
      <c r="S15" s="18" t="s">
        <v>182</v>
      </c>
      <c r="T15" s="18" t="s">
        <v>182</v>
      </c>
      <c r="U15" s="18" t="s">
        <v>124</v>
      </c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 t="s">
        <v>124</v>
      </c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 t="s">
        <v>124</v>
      </c>
      <c r="FL15" s="18" t="s">
        <v>124</v>
      </c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 t="s">
        <v>124</v>
      </c>
      <c r="GO15" s="18"/>
      <c r="GP15" s="18"/>
      <c r="GQ15" s="18"/>
      <c r="GR15" s="18"/>
      <c r="GS15" s="18"/>
      <c r="GT15" s="18"/>
    </row>
  </sheetData>
  <mergeCells count="38">
    <mergeCell ref="EF2:EL2"/>
    <mergeCell ref="EM2:ES2"/>
    <mergeCell ref="ET2:EZ2"/>
    <mergeCell ref="GJ2:GP2"/>
    <mergeCell ref="GQ2:GT2"/>
    <mergeCell ref="FA2:FG2"/>
    <mergeCell ref="FH2:FN2"/>
    <mergeCell ref="FO2:FU2"/>
    <mergeCell ref="FV2:GB2"/>
    <mergeCell ref="GC2:GI2"/>
    <mergeCell ref="CC1:DF1"/>
    <mergeCell ref="DG1:EK1"/>
    <mergeCell ref="EL1:FO1"/>
    <mergeCell ref="FP1:GT1"/>
    <mergeCell ref="AZ2:BF2"/>
    <mergeCell ref="BG2:BM2"/>
    <mergeCell ref="BN2:BT2"/>
    <mergeCell ref="BU2:CA2"/>
    <mergeCell ref="CB2:CH2"/>
    <mergeCell ref="CI2:CO2"/>
    <mergeCell ref="CP2:CV2"/>
    <mergeCell ref="CW2:DC2"/>
    <mergeCell ref="DD2:DJ2"/>
    <mergeCell ref="DK2:DQ2"/>
    <mergeCell ref="DR2:DX2"/>
    <mergeCell ref="DY2:EE2"/>
    <mergeCell ref="A1:A4"/>
    <mergeCell ref="B1:B4"/>
    <mergeCell ref="C1:R1"/>
    <mergeCell ref="S1:AW1"/>
    <mergeCell ref="C2:I2"/>
    <mergeCell ref="J2:P2"/>
    <mergeCell ref="Q2:W2"/>
    <mergeCell ref="X2:AD2"/>
    <mergeCell ref="AE2:AK2"/>
    <mergeCell ref="AL2:AR2"/>
    <mergeCell ref="AS2:AY2"/>
    <mergeCell ref="AX1:CB1"/>
  </mergeCells>
  <conditionalFormatting sqref="C5:GT15">
    <cfRule type="expression" dxfId="6" priority="2">
      <formula>ISNUMBER(SEARCH("VAC",C5))</formula>
    </cfRule>
    <cfRule type="expression" dxfId="5" priority="3">
      <formula>ISNUMBER(SEARCH("HOL",C5))</formula>
    </cfRule>
    <cfRule type="expression" dxfId="4" priority="4">
      <formula>ISNUMBER(SEARCH("SICK",C5))</formula>
    </cfRule>
    <cfRule type="expression" dxfId="3" priority="5">
      <formula>ISNUMBER(SEARCH("TRN",C5))</formula>
    </cfRule>
    <cfRule type="expression" dxfId="2" priority="6">
      <formula>AND(C5="",C$4="S")</formula>
    </cfRule>
    <cfRule type="expression" dxfId="1" priority="7">
      <formula>AND(C5="",C$4&lt;&gt;"S")</formula>
    </cfRule>
    <cfRule type="expression" dxfId="0" priority="8">
      <formula>C5&lt;&gt;""</formula>
    </cfRule>
  </conditionalFormatting>
  <dataValidations count="1">
    <dataValidation type="list" allowBlank="1" sqref="C5:GT15" xr:uid="{00000000-0002-0000-0300-000000000000}">
      <formula1>ScheduleCodes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204"/>
  <sheetViews>
    <sheetView showGridLines="0" zoomScaleNormal="100" workbookViewId="0">
      <pane ySplit="4" topLeftCell="A5" activePane="bottomLeft" state="frozen"/>
      <selection pane="bottomLeft" activeCell="I5" sqref="I5"/>
    </sheetView>
  </sheetViews>
  <sheetFormatPr defaultColWidth="8.7109375" defaultRowHeight="15" x14ac:dyDescent="0.25"/>
  <cols>
    <col min="1" max="1" width="12" customWidth="1"/>
    <col min="2" max="2" width="6" customWidth="1"/>
    <col min="3" max="9" width="14" customWidth="1"/>
  </cols>
  <sheetData>
    <row r="1" spans="1:9" ht="18" customHeight="1" x14ac:dyDescent="0.25">
      <c r="A1" s="19" t="s">
        <v>172</v>
      </c>
    </row>
    <row r="2" spans="1:9" ht="15" customHeight="1" x14ac:dyDescent="0.25">
      <c r="A2" s="20" t="s">
        <v>173</v>
      </c>
    </row>
    <row r="4" spans="1:9" ht="30" customHeight="1" x14ac:dyDescent="0.25">
      <c r="A4" s="4" t="s">
        <v>174</v>
      </c>
      <c r="B4" s="4" t="s">
        <v>175</v>
      </c>
      <c r="C4" s="4" t="s">
        <v>176</v>
      </c>
      <c r="D4" s="4" t="s">
        <v>177</v>
      </c>
      <c r="E4" s="4" t="s">
        <v>123</v>
      </c>
      <c r="F4" s="4" t="s">
        <v>125</v>
      </c>
      <c r="G4" s="4" t="s">
        <v>178</v>
      </c>
      <c r="H4" s="4" t="s">
        <v>129</v>
      </c>
      <c r="I4" s="5" t="s">
        <v>179</v>
      </c>
    </row>
    <row r="5" spans="1:9" ht="15" customHeight="1" x14ac:dyDescent="0.25">
      <c r="A5" s="21">
        <v>46188</v>
      </c>
      <c r="B5" s="22" t="s">
        <v>166</v>
      </c>
      <c r="C5" s="22">
        <f>COUNTBLANK(Schedule!$C$5:$C$15)</f>
        <v>1</v>
      </c>
      <c r="D5" s="22">
        <f t="shared" ref="D5:D36" si="0">I5-C5-E5-F5-G5-H5</f>
        <v>10</v>
      </c>
      <c r="E5" s="22">
        <f>COUNTIF(Schedule!$C$5:$C$15,"*VAC*")</f>
        <v>0</v>
      </c>
      <c r="F5" s="22">
        <f>COUNTIF(Schedule!$C$5:$C$15,"*HOL*")</f>
        <v>0</v>
      </c>
      <c r="G5" s="22">
        <f>COUNTIF(Schedule!$C$5:$C$15,"*SICK*")</f>
        <v>0</v>
      </c>
      <c r="H5" s="22">
        <f>COUNTIF(Schedule!$C$5:$C$15,"*TRN*")</f>
        <v>0</v>
      </c>
      <c r="I5" s="22">
        <v>11</v>
      </c>
    </row>
    <row r="6" spans="1:9" ht="15" customHeight="1" x14ac:dyDescent="0.25">
      <c r="A6" s="21">
        <v>46189</v>
      </c>
      <c r="B6" s="22" t="s">
        <v>167</v>
      </c>
      <c r="C6" s="22">
        <f>COUNTBLANK(Schedule!$D$5:$D$15)</f>
        <v>1</v>
      </c>
      <c r="D6" s="22">
        <f t="shared" si="0"/>
        <v>9</v>
      </c>
      <c r="E6" s="22">
        <f>COUNTIF(Schedule!$D$5:$D$15,"*VAC*")</f>
        <v>1</v>
      </c>
      <c r="F6" s="22">
        <f>COUNTIF(Schedule!$D$5:$D$15,"*HOL*")</f>
        <v>0</v>
      </c>
      <c r="G6" s="22">
        <f>COUNTIF(Schedule!$D$5:$D$15,"*SICK*")</f>
        <v>0</v>
      </c>
      <c r="H6" s="22">
        <f>COUNTIF(Schedule!$D$5:$D$15,"*TRN*")</f>
        <v>0</v>
      </c>
      <c r="I6" s="22">
        <v>11</v>
      </c>
    </row>
    <row r="7" spans="1:9" ht="15" customHeight="1" x14ac:dyDescent="0.25">
      <c r="A7" s="21">
        <v>46190</v>
      </c>
      <c r="B7" s="22" t="s">
        <v>168</v>
      </c>
      <c r="C7" s="22">
        <f>COUNTBLANK(Schedule!$E$5:$E$15)</f>
        <v>2</v>
      </c>
      <c r="D7" s="22">
        <f t="shared" si="0"/>
        <v>8</v>
      </c>
      <c r="E7" s="22">
        <f>COUNTIF(Schedule!$E$5:$E$15,"*VAC*")</f>
        <v>1</v>
      </c>
      <c r="F7" s="22">
        <f>COUNTIF(Schedule!$E$5:$E$15,"*HOL*")</f>
        <v>0</v>
      </c>
      <c r="G7" s="22">
        <f>COUNTIF(Schedule!$E$5:$E$15,"*SICK*")</f>
        <v>0</v>
      </c>
      <c r="H7" s="22">
        <f>COUNTIF(Schedule!$E$5:$E$15,"*TRN*")</f>
        <v>0</v>
      </c>
      <c r="I7" s="22">
        <v>11</v>
      </c>
    </row>
    <row r="8" spans="1:9" ht="15" customHeight="1" x14ac:dyDescent="0.25">
      <c r="A8" s="21">
        <v>46191</v>
      </c>
      <c r="B8" s="22" t="s">
        <v>167</v>
      </c>
      <c r="C8" s="22">
        <f>COUNTBLANK(Schedule!$F$5:$F$15)</f>
        <v>1</v>
      </c>
      <c r="D8" s="22">
        <f t="shared" si="0"/>
        <v>9</v>
      </c>
      <c r="E8" s="22">
        <f>COUNTIF(Schedule!$F$5:$F$15,"*VAC*")</f>
        <v>1</v>
      </c>
      <c r="F8" s="22">
        <f>COUNTIF(Schedule!$F$5:$F$15,"*HOL*")</f>
        <v>0</v>
      </c>
      <c r="G8" s="22">
        <f>COUNTIF(Schedule!$F$5:$F$15,"*SICK*")</f>
        <v>0</v>
      </c>
      <c r="H8" s="22">
        <f>COUNTIF(Schedule!$F$5:$F$15,"*TRN*")</f>
        <v>0</v>
      </c>
      <c r="I8" s="22">
        <v>11</v>
      </c>
    </row>
    <row r="9" spans="1:9" ht="15" customHeight="1" x14ac:dyDescent="0.25">
      <c r="A9" s="21">
        <v>46192</v>
      </c>
      <c r="B9" s="22" t="s">
        <v>169</v>
      </c>
      <c r="C9" s="22">
        <f>COUNTBLANK(Schedule!$G$5:$G$15)</f>
        <v>1</v>
      </c>
      <c r="D9" s="22">
        <f t="shared" si="0"/>
        <v>8</v>
      </c>
      <c r="E9" s="22">
        <f>COUNTIF(Schedule!$G$5:$G$15,"*VAC*")</f>
        <v>2</v>
      </c>
      <c r="F9" s="22">
        <f>COUNTIF(Schedule!$G$5:$G$15,"*HOL*")</f>
        <v>0</v>
      </c>
      <c r="G9" s="22">
        <f>COUNTIF(Schedule!$G$5:$G$15,"*SICK*")</f>
        <v>0</v>
      </c>
      <c r="H9" s="22">
        <f>COUNTIF(Schedule!$G$5:$G$15,"*TRN*")</f>
        <v>0</v>
      </c>
      <c r="I9" s="22">
        <v>11</v>
      </c>
    </row>
    <row r="10" spans="1:9" ht="15" customHeight="1" x14ac:dyDescent="0.25">
      <c r="A10" s="21">
        <v>46193</v>
      </c>
      <c r="B10" s="22" t="s">
        <v>170</v>
      </c>
      <c r="C10" s="22">
        <f>COUNTBLANK(Schedule!$H$5:$H$15)</f>
        <v>11</v>
      </c>
      <c r="D10" s="22">
        <f t="shared" si="0"/>
        <v>0</v>
      </c>
      <c r="E10" s="22">
        <f>COUNTIF(Schedule!$H$5:$H$15,"*VAC*")</f>
        <v>0</v>
      </c>
      <c r="F10" s="22">
        <f>COUNTIF(Schedule!$H$5:$H$15,"*HOL*")</f>
        <v>0</v>
      </c>
      <c r="G10" s="22">
        <f>COUNTIF(Schedule!$H$5:$H$15,"*SICK*")</f>
        <v>0</v>
      </c>
      <c r="H10" s="22">
        <f>COUNTIF(Schedule!$H$5:$H$15,"*TRN*")</f>
        <v>0</v>
      </c>
      <c r="I10" s="22">
        <v>11</v>
      </c>
    </row>
    <row r="11" spans="1:9" ht="15" customHeight="1" x14ac:dyDescent="0.25">
      <c r="A11" s="21">
        <v>46194</v>
      </c>
      <c r="B11" s="22" t="s">
        <v>170</v>
      </c>
      <c r="C11" s="22">
        <f>COUNTBLANK(Schedule!$I$5:$I$15)</f>
        <v>11</v>
      </c>
      <c r="D11" s="22">
        <f t="shared" si="0"/>
        <v>0</v>
      </c>
      <c r="E11" s="22">
        <f>COUNTIF(Schedule!$I$5:$I$15,"*VAC*")</f>
        <v>0</v>
      </c>
      <c r="F11" s="22">
        <f>COUNTIF(Schedule!$I$5:$I$15,"*HOL*")</f>
        <v>0</v>
      </c>
      <c r="G11" s="22">
        <f>COUNTIF(Schedule!$I$5:$I$15,"*SICK*")</f>
        <v>0</v>
      </c>
      <c r="H11" s="22">
        <f>COUNTIF(Schedule!$I$5:$I$15,"*TRN*")</f>
        <v>0</v>
      </c>
      <c r="I11" s="22">
        <v>11</v>
      </c>
    </row>
    <row r="12" spans="1:9" ht="15" customHeight="1" x14ac:dyDescent="0.25">
      <c r="A12" s="21">
        <v>46195</v>
      </c>
      <c r="B12" s="22" t="s">
        <v>166</v>
      </c>
      <c r="C12" s="22">
        <f>COUNTBLANK(Schedule!$J$5:$J$15)</f>
        <v>1</v>
      </c>
      <c r="D12" s="22">
        <f t="shared" si="0"/>
        <v>9</v>
      </c>
      <c r="E12" s="22">
        <f>COUNTIF(Schedule!$J$5:$J$15,"*VAC*")</f>
        <v>1</v>
      </c>
      <c r="F12" s="22">
        <f>COUNTIF(Schedule!$J$5:$J$15,"*HOL*")</f>
        <v>0</v>
      </c>
      <c r="G12" s="22">
        <f>COUNTIF(Schedule!$J$5:$J$15,"*SICK*")</f>
        <v>0</v>
      </c>
      <c r="H12" s="22">
        <f>COUNTIF(Schedule!$J$5:$J$15,"*TRN*")</f>
        <v>0</v>
      </c>
      <c r="I12" s="22">
        <v>11</v>
      </c>
    </row>
    <row r="13" spans="1:9" ht="15" customHeight="1" x14ac:dyDescent="0.25">
      <c r="A13" s="21">
        <v>46196</v>
      </c>
      <c r="B13" s="22" t="s">
        <v>167</v>
      </c>
      <c r="C13" s="22">
        <f>COUNTBLANK(Schedule!$K$5:$K$15)</f>
        <v>1</v>
      </c>
      <c r="D13" s="22">
        <f t="shared" si="0"/>
        <v>9</v>
      </c>
      <c r="E13" s="22">
        <f>COUNTIF(Schedule!$K$5:$K$15,"*VAC*")</f>
        <v>1</v>
      </c>
      <c r="F13" s="22">
        <f>COUNTIF(Schedule!$K$5:$K$15,"*HOL*")</f>
        <v>0</v>
      </c>
      <c r="G13" s="22">
        <f>COUNTIF(Schedule!$K$5:$K$15,"*SICK*")</f>
        <v>0</v>
      </c>
      <c r="H13" s="22">
        <f>COUNTIF(Schedule!$K$5:$K$15,"*TRN*")</f>
        <v>0</v>
      </c>
      <c r="I13" s="22">
        <v>11</v>
      </c>
    </row>
    <row r="14" spans="1:9" ht="15" customHeight="1" x14ac:dyDescent="0.25">
      <c r="A14" s="21">
        <v>46197</v>
      </c>
      <c r="B14" s="22" t="s">
        <v>168</v>
      </c>
      <c r="C14" s="22">
        <f>COUNTBLANK(Schedule!$L$5:$L$15)</f>
        <v>1</v>
      </c>
      <c r="D14" s="22">
        <f t="shared" si="0"/>
        <v>10</v>
      </c>
      <c r="E14" s="22">
        <f>COUNTIF(Schedule!$L$5:$L$15,"*VAC*")</f>
        <v>0</v>
      </c>
      <c r="F14" s="22">
        <f>COUNTIF(Schedule!$L$5:$L$15,"*HOL*")</f>
        <v>0</v>
      </c>
      <c r="G14" s="22">
        <f>COUNTIF(Schedule!$L$5:$L$15,"*SICK*")</f>
        <v>0</v>
      </c>
      <c r="H14" s="22">
        <f>COUNTIF(Schedule!$L$5:$L$15,"*TRN*")</f>
        <v>0</v>
      </c>
      <c r="I14" s="22">
        <v>11</v>
      </c>
    </row>
    <row r="15" spans="1:9" ht="15" customHeight="1" x14ac:dyDescent="0.25">
      <c r="A15" s="21">
        <v>46198</v>
      </c>
      <c r="B15" s="22" t="s">
        <v>167</v>
      </c>
      <c r="C15" s="22">
        <f>COUNTBLANK(Schedule!$M$5:$M$15)</f>
        <v>1</v>
      </c>
      <c r="D15" s="22">
        <f t="shared" si="0"/>
        <v>9</v>
      </c>
      <c r="E15" s="22">
        <f>COUNTIF(Schedule!$M$5:$M$15,"*VAC*")</f>
        <v>1</v>
      </c>
      <c r="F15" s="22">
        <f>COUNTIF(Schedule!$M$5:$M$15,"*HOL*")</f>
        <v>0</v>
      </c>
      <c r="G15" s="22">
        <f>COUNTIF(Schedule!$M$5:$M$15,"*SICK*")</f>
        <v>0</v>
      </c>
      <c r="H15" s="22">
        <f>COUNTIF(Schedule!$M$5:$M$15,"*TRN*")</f>
        <v>0</v>
      </c>
      <c r="I15" s="22">
        <v>11</v>
      </c>
    </row>
    <row r="16" spans="1:9" ht="15" customHeight="1" x14ac:dyDescent="0.25">
      <c r="A16" s="21">
        <v>46199</v>
      </c>
      <c r="B16" s="22" t="s">
        <v>169</v>
      </c>
      <c r="C16" s="22">
        <f>COUNTBLANK(Schedule!$N$5:$N$15)</f>
        <v>1</v>
      </c>
      <c r="D16" s="22">
        <f t="shared" si="0"/>
        <v>8</v>
      </c>
      <c r="E16" s="22">
        <f>COUNTIF(Schedule!$N$5:$N$15,"*VAC*")</f>
        <v>2</v>
      </c>
      <c r="F16" s="22">
        <f>COUNTIF(Schedule!$N$5:$N$15,"*HOL*")</f>
        <v>0</v>
      </c>
      <c r="G16" s="22">
        <f>COUNTIF(Schedule!$N$5:$N$15,"*SICK*")</f>
        <v>0</v>
      </c>
      <c r="H16" s="22">
        <f>COUNTIF(Schedule!$N$5:$N$15,"*TRN*")</f>
        <v>0</v>
      </c>
      <c r="I16" s="22">
        <v>11</v>
      </c>
    </row>
    <row r="17" spans="1:9" ht="15" customHeight="1" x14ac:dyDescent="0.25">
      <c r="A17" s="21">
        <v>46200</v>
      </c>
      <c r="B17" s="22" t="s">
        <v>170</v>
      </c>
      <c r="C17" s="22">
        <f>COUNTBLANK(Schedule!$O$5:$O$15)</f>
        <v>11</v>
      </c>
      <c r="D17" s="22">
        <f t="shared" si="0"/>
        <v>0</v>
      </c>
      <c r="E17" s="22">
        <f>COUNTIF(Schedule!$O$5:$O$15,"*VAC*")</f>
        <v>0</v>
      </c>
      <c r="F17" s="22">
        <f>COUNTIF(Schedule!$O$5:$O$15,"*HOL*")</f>
        <v>0</v>
      </c>
      <c r="G17" s="22">
        <f>COUNTIF(Schedule!$O$5:$O$15,"*SICK*")</f>
        <v>0</v>
      </c>
      <c r="H17" s="22">
        <f>COUNTIF(Schedule!$O$5:$O$15,"*TRN*")</f>
        <v>0</v>
      </c>
      <c r="I17" s="22">
        <v>11</v>
      </c>
    </row>
    <row r="18" spans="1:9" ht="15" customHeight="1" x14ac:dyDescent="0.25">
      <c r="A18" s="21">
        <v>46201</v>
      </c>
      <c r="B18" s="22" t="s">
        <v>170</v>
      </c>
      <c r="C18" s="22">
        <f>COUNTBLANK(Schedule!$P$5:$P$15)</f>
        <v>11</v>
      </c>
      <c r="D18" s="22">
        <f t="shared" si="0"/>
        <v>0</v>
      </c>
      <c r="E18" s="22">
        <f>COUNTIF(Schedule!$P$5:$P$15,"*VAC*")</f>
        <v>0</v>
      </c>
      <c r="F18" s="22">
        <f>COUNTIF(Schedule!$P$5:$P$15,"*HOL*")</f>
        <v>0</v>
      </c>
      <c r="G18" s="22">
        <f>COUNTIF(Schedule!$P$5:$P$15,"*SICK*")</f>
        <v>0</v>
      </c>
      <c r="H18" s="22">
        <f>COUNTIF(Schedule!$P$5:$P$15,"*TRN*")</f>
        <v>0</v>
      </c>
      <c r="I18" s="22">
        <v>11</v>
      </c>
    </row>
    <row r="19" spans="1:9" ht="15" customHeight="1" x14ac:dyDescent="0.25">
      <c r="A19" s="21">
        <v>46202</v>
      </c>
      <c r="B19" s="22" t="s">
        <v>166</v>
      </c>
      <c r="C19" s="22">
        <f>COUNTBLANK(Schedule!$Q$5:$Q$15)</f>
        <v>5</v>
      </c>
      <c r="D19" s="22">
        <f t="shared" si="0"/>
        <v>5</v>
      </c>
      <c r="E19" s="22">
        <f>COUNTIF(Schedule!$Q$5:$Q$15,"*VAC*")</f>
        <v>1</v>
      </c>
      <c r="F19" s="22">
        <f>COUNTIF(Schedule!$Q$5:$Q$15,"*HOL*")</f>
        <v>0</v>
      </c>
      <c r="G19" s="22">
        <f>COUNTIF(Schedule!$Q$5:$Q$15,"*SICK*")</f>
        <v>0</v>
      </c>
      <c r="H19" s="22">
        <f>COUNTIF(Schedule!$Q$5:$Q$15,"*TRN*")</f>
        <v>0</v>
      </c>
      <c r="I19" s="22">
        <v>11</v>
      </c>
    </row>
    <row r="20" spans="1:9" ht="15" customHeight="1" x14ac:dyDescent="0.25">
      <c r="A20" s="21">
        <v>46203</v>
      </c>
      <c r="B20" s="22" t="s">
        <v>167</v>
      </c>
      <c r="C20" s="22">
        <f>COUNTBLANK(Schedule!$R$5:$R$15)</f>
        <v>5</v>
      </c>
      <c r="D20" s="22">
        <f t="shared" si="0"/>
        <v>5</v>
      </c>
      <c r="E20" s="22">
        <f>COUNTIF(Schedule!$R$5:$R$15,"*VAC*")</f>
        <v>1</v>
      </c>
      <c r="F20" s="22">
        <f>COUNTIF(Schedule!$R$5:$R$15,"*HOL*")</f>
        <v>0</v>
      </c>
      <c r="G20" s="22">
        <f>COUNTIF(Schedule!$R$5:$R$15,"*SICK*")</f>
        <v>0</v>
      </c>
      <c r="H20" s="22">
        <f>COUNTIF(Schedule!$R$5:$R$15,"*TRN*")</f>
        <v>0</v>
      </c>
      <c r="I20" s="22">
        <v>11</v>
      </c>
    </row>
    <row r="21" spans="1:9" ht="15" customHeight="1" x14ac:dyDescent="0.25">
      <c r="A21" s="21">
        <v>46204</v>
      </c>
      <c r="B21" s="22" t="s">
        <v>168</v>
      </c>
      <c r="C21" s="22">
        <f>COUNTBLANK(Schedule!$S$5:$S$15)</f>
        <v>5</v>
      </c>
      <c r="D21" s="22">
        <f t="shared" si="0"/>
        <v>5</v>
      </c>
      <c r="E21" s="22">
        <f>COUNTIF(Schedule!$S$5:$S$15,"*VAC*")</f>
        <v>1</v>
      </c>
      <c r="F21" s="22">
        <f>COUNTIF(Schedule!$S$5:$S$15,"*HOL*")</f>
        <v>0</v>
      </c>
      <c r="G21" s="22">
        <f>COUNTIF(Schedule!$S$5:$S$15,"*SICK*")</f>
        <v>0</v>
      </c>
      <c r="H21" s="22">
        <f>COUNTIF(Schedule!$S$5:$S$15,"*TRN*")</f>
        <v>0</v>
      </c>
      <c r="I21" s="22">
        <v>11</v>
      </c>
    </row>
    <row r="22" spans="1:9" ht="15" customHeight="1" x14ac:dyDescent="0.25">
      <c r="A22" s="21">
        <v>46205</v>
      </c>
      <c r="B22" s="22" t="s">
        <v>167</v>
      </c>
      <c r="C22" s="22">
        <f>COUNTBLANK(Schedule!$T$5:$T$15)</f>
        <v>5</v>
      </c>
      <c r="D22" s="22">
        <f t="shared" si="0"/>
        <v>5</v>
      </c>
      <c r="E22" s="22">
        <f>COUNTIF(Schedule!$T$5:$T$15,"*VAC*")</f>
        <v>1</v>
      </c>
      <c r="F22" s="22">
        <f>COUNTIF(Schedule!$T$5:$T$15,"*HOL*")</f>
        <v>0</v>
      </c>
      <c r="G22" s="22">
        <f>COUNTIF(Schedule!$T$5:$T$15,"*SICK*")</f>
        <v>0</v>
      </c>
      <c r="H22" s="22">
        <f>COUNTIF(Schedule!$T$5:$T$15,"*TRN*")</f>
        <v>0</v>
      </c>
      <c r="I22" s="22">
        <v>11</v>
      </c>
    </row>
    <row r="23" spans="1:9" ht="15" customHeight="1" x14ac:dyDescent="0.25">
      <c r="A23" s="21">
        <v>46206</v>
      </c>
      <c r="B23" s="22" t="s">
        <v>169</v>
      </c>
      <c r="C23" s="22">
        <f>COUNTBLANK(Schedule!$U$5:$U$15)</f>
        <v>0</v>
      </c>
      <c r="D23" s="22">
        <f t="shared" si="0"/>
        <v>0</v>
      </c>
      <c r="E23" s="22">
        <f>COUNTIF(Schedule!$U$5:$U$15,"*VAC*")</f>
        <v>0</v>
      </c>
      <c r="F23" s="22">
        <f>COUNTIF(Schedule!$U$5:$U$15,"*HOL*")</f>
        <v>11</v>
      </c>
      <c r="G23" s="22">
        <f>COUNTIF(Schedule!$U$5:$U$15,"*SICK*")</f>
        <v>0</v>
      </c>
      <c r="H23" s="22">
        <f>COUNTIF(Schedule!$U$5:$U$15,"*TRN*")</f>
        <v>0</v>
      </c>
      <c r="I23" s="22">
        <v>11</v>
      </c>
    </row>
    <row r="24" spans="1:9" ht="15" customHeight="1" x14ac:dyDescent="0.25">
      <c r="A24" s="21">
        <v>46207</v>
      </c>
      <c r="B24" s="22" t="s">
        <v>170</v>
      </c>
      <c r="C24" s="22">
        <f>COUNTBLANK(Schedule!$V$5:$V$15)</f>
        <v>11</v>
      </c>
      <c r="D24" s="22">
        <f t="shared" si="0"/>
        <v>0</v>
      </c>
      <c r="E24" s="22">
        <f>COUNTIF(Schedule!$V$5:$V$15,"*VAC*")</f>
        <v>0</v>
      </c>
      <c r="F24" s="22">
        <f>COUNTIF(Schedule!$V$5:$V$15,"*HOL*")</f>
        <v>0</v>
      </c>
      <c r="G24" s="22">
        <f>COUNTIF(Schedule!$V$5:$V$15,"*SICK*")</f>
        <v>0</v>
      </c>
      <c r="H24" s="22">
        <f>COUNTIF(Schedule!$V$5:$V$15,"*TRN*")</f>
        <v>0</v>
      </c>
      <c r="I24" s="22">
        <v>11</v>
      </c>
    </row>
    <row r="25" spans="1:9" ht="15" customHeight="1" x14ac:dyDescent="0.25">
      <c r="A25" s="21">
        <v>46208</v>
      </c>
      <c r="B25" s="22" t="s">
        <v>170</v>
      </c>
      <c r="C25" s="22">
        <f>COUNTBLANK(Schedule!$W$5:$W$15)</f>
        <v>11</v>
      </c>
      <c r="D25" s="22">
        <f t="shared" si="0"/>
        <v>0</v>
      </c>
      <c r="E25" s="22">
        <f>COUNTIF(Schedule!$W$5:$W$15,"*VAC*")</f>
        <v>0</v>
      </c>
      <c r="F25" s="22">
        <f>COUNTIF(Schedule!$W$5:$W$15,"*HOL*")</f>
        <v>0</v>
      </c>
      <c r="G25" s="22">
        <f>COUNTIF(Schedule!$W$5:$W$15,"*SICK*")</f>
        <v>0</v>
      </c>
      <c r="H25" s="22">
        <f>COUNTIF(Schedule!$W$5:$W$15,"*TRN*")</f>
        <v>0</v>
      </c>
      <c r="I25" s="22">
        <v>11</v>
      </c>
    </row>
    <row r="26" spans="1:9" ht="15" customHeight="1" x14ac:dyDescent="0.25">
      <c r="A26" s="21">
        <v>46209</v>
      </c>
      <c r="B26" s="22" t="s">
        <v>166</v>
      </c>
      <c r="C26" s="22">
        <f>COUNTBLANK(Schedule!$X$5:$X$15)</f>
        <v>8</v>
      </c>
      <c r="D26" s="22">
        <f t="shared" si="0"/>
        <v>2</v>
      </c>
      <c r="E26" s="22">
        <f>COUNTIF(Schedule!$X$5:$X$15,"*VAC*")</f>
        <v>1</v>
      </c>
      <c r="F26" s="22">
        <f>COUNTIF(Schedule!$X$5:$X$15,"*HOL*")</f>
        <v>0</v>
      </c>
      <c r="G26" s="22">
        <f>COUNTIF(Schedule!$X$5:$X$15,"*SICK*")</f>
        <v>0</v>
      </c>
      <c r="H26" s="22">
        <f>COUNTIF(Schedule!$X$5:$X$15,"*TRN*")</f>
        <v>0</v>
      </c>
      <c r="I26" s="22">
        <v>11</v>
      </c>
    </row>
    <row r="27" spans="1:9" ht="15" customHeight="1" x14ac:dyDescent="0.25">
      <c r="A27" s="21">
        <v>46210</v>
      </c>
      <c r="B27" s="22" t="s">
        <v>167</v>
      </c>
      <c r="C27" s="22">
        <f>COUNTBLANK(Schedule!$Y$5:$Y$15)</f>
        <v>10</v>
      </c>
      <c r="D27" s="22">
        <f t="shared" si="0"/>
        <v>1</v>
      </c>
      <c r="E27" s="22">
        <f>COUNTIF(Schedule!$Y$5:$Y$15,"*VAC*")</f>
        <v>0</v>
      </c>
      <c r="F27" s="22">
        <f>COUNTIF(Schedule!$Y$5:$Y$15,"*HOL*")</f>
        <v>0</v>
      </c>
      <c r="G27" s="22">
        <f>COUNTIF(Schedule!$Y$5:$Y$15,"*SICK*")</f>
        <v>0</v>
      </c>
      <c r="H27" s="22">
        <f>COUNTIF(Schedule!$Y$5:$Y$15,"*TRN*")</f>
        <v>0</v>
      </c>
      <c r="I27" s="22">
        <v>11</v>
      </c>
    </row>
    <row r="28" spans="1:9" ht="15" customHeight="1" x14ac:dyDescent="0.25">
      <c r="A28" s="21">
        <v>46211</v>
      </c>
      <c r="B28" s="22" t="s">
        <v>168</v>
      </c>
      <c r="C28" s="22">
        <f>COUNTBLANK(Schedule!$Z$5:$Z$15)</f>
        <v>10</v>
      </c>
      <c r="D28" s="22">
        <f t="shared" si="0"/>
        <v>1</v>
      </c>
      <c r="E28" s="22">
        <f>COUNTIF(Schedule!$Z$5:$Z$15,"*VAC*")</f>
        <v>0</v>
      </c>
      <c r="F28" s="22">
        <f>COUNTIF(Schedule!$Z$5:$Z$15,"*HOL*")</f>
        <v>0</v>
      </c>
      <c r="G28" s="22">
        <f>COUNTIF(Schedule!$Z$5:$Z$15,"*SICK*")</f>
        <v>0</v>
      </c>
      <c r="H28" s="22">
        <f>COUNTIF(Schedule!$Z$5:$Z$15,"*TRN*")</f>
        <v>0</v>
      </c>
      <c r="I28" s="22">
        <v>11</v>
      </c>
    </row>
    <row r="29" spans="1:9" ht="15" customHeight="1" x14ac:dyDescent="0.25">
      <c r="A29" s="21">
        <v>46212</v>
      </c>
      <c r="B29" s="22" t="s">
        <v>167</v>
      </c>
      <c r="C29" s="22">
        <f>COUNTBLANK(Schedule!$AA$5:$AA$15)</f>
        <v>10</v>
      </c>
      <c r="D29" s="22">
        <f t="shared" si="0"/>
        <v>1</v>
      </c>
      <c r="E29" s="22">
        <f>COUNTIF(Schedule!$AA$5:$AA$15,"*VAC*")</f>
        <v>0</v>
      </c>
      <c r="F29" s="22">
        <f>COUNTIF(Schedule!$AA$5:$AA$15,"*HOL*")</f>
        <v>0</v>
      </c>
      <c r="G29" s="22">
        <f>COUNTIF(Schedule!$AA$5:$AA$15,"*SICK*")</f>
        <v>0</v>
      </c>
      <c r="H29" s="22">
        <f>COUNTIF(Schedule!$AA$5:$AA$15,"*TRN*")</f>
        <v>0</v>
      </c>
      <c r="I29" s="22">
        <v>11</v>
      </c>
    </row>
    <row r="30" spans="1:9" ht="15" customHeight="1" x14ac:dyDescent="0.25">
      <c r="A30" s="21">
        <v>46213</v>
      </c>
      <c r="B30" s="22" t="s">
        <v>169</v>
      </c>
      <c r="C30" s="22">
        <f>COUNTBLANK(Schedule!$AB$5:$AB$15)</f>
        <v>10</v>
      </c>
      <c r="D30" s="22">
        <f t="shared" si="0"/>
        <v>1</v>
      </c>
      <c r="E30" s="22">
        <f>COUNTIF(Schedule!$AB$5:$AB$15,"*VAC*")</f>
        <v>0</v>
      </c>
      <c r="F30" s="22">
        <f>COUNTIF(Schedule!$AB$5:$AB$15,"*HOL*")</f>
        <v>0</v>
      </c>
      <c r="G30" s="22">
        <f>COUNTIF(Schedule!$AB$5:$AB$15,"*SICK*")</f>
        <v>0</v>
      </c>
      <c r="H30" s="22">
        <f>COUNTIF(Schedule!$AB$5:$AB$15,"*TRN*")</f>
        <v>0</v>
      </c>
      <c r="I30" s="22">
        <v>11</v>
      </c>
    </row>
    <row r="31" spans="1:9" ht="15" customHeight="1" x14ac:dyDescent="0.25">
      <c r="A31" s="21">
        <v>46214</v>
      </c>
      <c r="B31" s="22" t="s">
        <v>170</v>
      </c>
      <c r="C31" s="22">
        <f>COUNTBLANK(Schedule!$AC$5:$AC$15)</f>
        <v>11</v>
      </c>
      <c r="D31" s="22">
        <f t="shared" si="0"/>
        <v>0</v>
      </c>
      <c r="E31" s="22">
        <f>COUNTIF(Schedule!$AC$5:$AC$15,"*VAC*")</f>
        <v>0</v>
      </c>
      <c r="F31" s="22">
        <f>COUNTIF(Schedule!$AC$5:$AC$15,"*HOL*")</f>
        <v>0</v>
      </c>
      <c r="G31" s="22">
        <f>COUNTIF(Schedule!$AC$5:$AC$15,"*SICK*")</f>
        <v>0</v>
      </c>
      <c r="H31" s="22">
        <f>COUNTIF(Schedule!$AC$5:$AC$15,"*TRN*")</f>
        <v>0</v>
      </c>
      <c r="I31" s="22">
        <v>11</v>
      </c>
    </row>
    <row r="32" spans="1:9" ht="15" customHeight="1" x14ac:dyDescent="0.25">
      <c r="A32" s="21">
        <v>46215</v>
      </c>
      <c r="B32" s="22" t="s">
        <v>170</v>
      </c>
      <c r="C32" s="22">
        <f>COUNTBLANK(Schedule!$AD$5:$AD$15)</f>
        <v>11</v>
      </c>
      <c r="D32" s="22">
        <f t="shared" si="0"/>
        <v>0</v>
      </c>
      <c r="E32" s="22">
        <f>COUNTIF(Schedule!$AD$5:$AD$15,"*VAC*")</f>
        <v>0</v>
      </c>
      <c r="F32" s="22">
        <f>COUNTIF(Schedule!$AD$5:$AD$15,"*HOL*")</f>
        <v>0</v>
      </c>
      <c r="G32" s="22">
        <f>COUNTIF(Schedule!$AD$5:$AD$15,"*SICK*")</f>
        <v>0</v>
      </c>
      <c r="H32" s="22">
        <f>COUNTIF(Schedule!$AD$5:$AD$15,"*TRN*")</f>
        <v>0</v>
      </c>
      <c r="I32" s="22">
        <v>11</v>
      </c>
    </row>
    <row r="33" spans="1:9" ht="15" customHeight="1" x14ac:dyDescent="0.25">
      <c r="A33" s="21">
        <v>46216</v>
      </c>
      <c r="B33" s="22" t="s">
        <v>166</v>
      </c>
      <c r="C33" s="22">
        <f>COUNTBLANK(Schedule!$AE$5:$AE$15)</f>
        <v>10</v>
      </c>
      <c r="D33" s="22">
        <f t="shared" si="0"/>
        <v>1</v>
      </c>
      <c r="E33" s="22">
        <f>COUNTIF(Schedule!$AE$5:$AE$15,"*VAC*")</f>
        <v>0</v>
      </c>
      <c r="F33" s="22">
        <f>COUNTIF(Schedule!$AE$5:$AE$15,"*HOL*")</f>
        <v>0</v>
      </c>
      <c r="G33" s="22">
        <f>COUNTIF(Schedule!$AE$5:$AE$15,"*SICK*")</f>
        <v>0</v>
      </c>
      <c r="H33" s="22">
        <f>COUNTIF(Schedule!$AE$5:$AE$15,"*TRN*")</f>
        <v>0</v>
      </c>
      <c r="I33" s="22">
        <v>11</v>
      </c>
    </row>
    <row r="34" spans="1:9" ht="15" customHeight="1" x14ac:dyDescent="0.25">
      <c r="A34" s="21">
        <v>46217</v>
      </c>
      <c r="B34" s="22" t="s">
        <v>167</v>
      </c>
      <c r="C34" s="22">
        <f>COUNTBLANK(Schedule!$AF$5:$AF$15)</f>
        <v>10</v>
      </c>
      <c r="D34" s="22">
        <f t="shared" si="0"/>
        <v>1</v>
      </c>
      <c r="E34" s="22">
        <f>COUNTIF(Schedule!$AF$5:$AF$15,"*VAC*")</f>
        <v>0</v>
      </c>
      <c r="F34" s="22">
        <f>COUNTIF(Schedule!$AF$5:$AF$15,"*HOL*")</f>
        <v>0</v>
      </c>
      <c r="G34" s="22">
        <f>COUNTIF(Schedule!$AF$5:$AF$15,"*SICK*")</f>
        <v>0</v>
      </c>
      <c r="H34" s="22">
        <f>COUNTIF(Schedule!$AF$5:$AF$15,"*TRN*")</f>
        <v>0</v>
      </c>
      <c r="I34" s="22">
        <v>11</v>
      </c>
    </row>
    <row r="35" spans="1:9" ht="15" customHeight="1" x14ac:dyDescent="0.25">
      <c r="A35" s="21">
        <v>46218</v>
      </c>
      <c r="B35" s="22" t="s">
        <v>168</v>
      </c>
      <c r="C35" s="22">
        <f>COUNTBLANK(Schedule!$AG$5:$AG$15)</f>
        <v>10</v>
      </c>
      <c r="D35" s="22">
        <f t="shared" si="0"/>
        <v>1</v>
      </c>
      <c r="E35" s="22">
        <f>COUNTIF(Schedule!$AG$5:$AG$15,"*VAC*")</f>
        <v>0</v>
      </c>
      <c r="F35" s="22">
        <f>COUNTIF(Schedule!$AG$5:$AG$15,"*HOL*")</f>
        <v>0</v>
      </c>
      <c r="G35" s="22">
        <f>COUNTIF(Schedule!$AG$5:$AG$15,"*SICK*")</f>
        <v>0</v>
      </c>
      <c r="H35" s="22">
        <f>COUNTIF(Schedule!$AG$5:$AG$15,"*TRN*")</f>
        <v>0</v>
      </c>
      <c r="I35" s="22">
        <v>11</v>
      </c>
    </row>
    <row r="36" spans="1:9" ht="15" customHeight="1" x14ac:dyDescent="0.25">
      <c r="A36" s="21">
        <v>46219</v>
      </c>
      <c r="B36" s="22" t="s">
        <v>167</v>
      </c>
      <c r="C36" s="22">
        <f>COUNTBLANK(Schedule!$AH$5:$AH$15)</f>
        <v>10</v>
      </c>
      <c r="D36" s="22">
        <f t="shared" si="0"/>
        <v>1</v>
      </c>
      <c r="E36" s="22">
        <f>COUNTIF(Schedule!$AH$5:$AH$15,"*VAC*")</f>
        <v>0</v>
      </c>
      <c r="F36" s="22">
        <f>COUNTIF(Schedule!$AH$5:$AH$15,"*HOL*")</f>
        <v>0</v>
      </c>
      <c r="G36" s="22">
        <f>COUNTIF(Schedule!$AH$5:$AH$15,"*SICK*")</f>
        <v>0</v>
      </c>
      <c r="H36" s="22">
        <f>COUNTIF(Schedule!$AH$5:$AH$15,"*TRN*")</f>
        <v>0</v>
      </c>
      <c r="I36" s="22">
        <v>11</v>
      </c>
    </row>
    <row r="37" spans="1:9" ht="15" customHeight="1" x14ac:dyDescent="0.25">
      <c r="A37" s="21">
        <v>46220</v>
      </c>
      <c r="B37" s="22" t="s">
        <v>169</v>
      </c>
      <c r="C37" s="22">
        <f>COUNTBLANK(Schedule!$AI$5:$AI$15)</f>
        <v>10</v>
      </c>
      <c r="D37" s="22">
        <f t="shared" ref="D37:D68" si="1">I37-C37-E37-F37-G37-H37</f>
        <v>1</v>
      </c>
      <c r="E37" s="22">
        <f>COUNTIF(Schedule!$AI$5:$AI$15,"*VAC*")</f>
        <v>0</v>
      </c>
      <c r="F37" s="22">
        <f>COUNTIF(Schedule!$AI$5:$AI$15,"*HOL*")</f>
        <v>0</v>
      </c>
      <c r="G37" s="22">
        <f>COUNTIF(Schedule!$AI$5:$AI$15,"*SICK*")</f>
        <v>0</v>
      </c>
      <c r="H37" s="22">
        <f>COUNTIF(Schedule!$AI$5:$AI$15,"*TRN*")</f>
        <v>0</v>
      </c>
      <c r="I37" s="22">
        <v>11</v>
      </c>
    </row>
    <row r="38" spans="1:9" ht="15" customHeight="1" x14ac:dyDescent="0.25">
      <c r="A38" s="21">
        <v>46221</v>
      </c>
      <c r="B38" s="22" t="s">
        <v>170</v>
      </c>
      <c r="C38" s="22">
        <f>COUNTBLANK(Schedule!$AJ$5:$AJ$15)</f>
        <v>11</v>
      </c>
      <c r="D38" s="22">
        <f t="shared" si="1"/>
        <v>0</v>
      </c>
      <c r="E38" s="22">
        <f>COUNTIF(Schedule!$AJ$5:$AJ$15,"*VAC*")</f>
        <v>0</v>
      </c>
      <c r="F38" s="22">
        <f>COUNTIF(Schedule!$AJ$5:$AJ$15,"*HOL*")</f>
        <v>0</v>
      </c>
      <c r="G38" s="22">
        <f>COUNTIF(Schedule!$AJ$5:$AJ$15,"*SICK*")</f>
        <v>0</v>
      </c>
      <c r="H38" s="22">
        <f>COUNTIF(Schedule!$AJ$5:$AJ$15,"*TRN*")</f>
        <v>0</v>
      </c>
      <c r="I38" s="22">
        <v>11</v>
      </c>
    </row>
    <row r="39" spans="1:9" ht="15" customHeight="1" x14ac:dyDescent="0.25">
      <c r="A39" s="21">
        <v>46222</v>
      </c>
      <c r="B39" s="22" t="s">
        <v>170</v>
      </c>
      <c r="C39" s="22">
        <f>COUNTBLANK(Schedule!$AK$5:$AK$15)</f>
        <v>11</v>
      </c>
      <c r="D39" s="22">
        <f t="shared" si="1"/>
        <v>0</v>
      </c>
      <c r="E39" s="22">
        <f>COUNTIF(Schedule!$AK$5:$AK$15,"*VAC*")</f>
        <v>0</v>
      </c>
      <c r="F39" s="22">
        <f>COUNTIF(Schedule!$AK$5:$AK$15,"*HOL*")</f>
        <v>0</v>
      </c>
      <c r="G39" s="22">
        <f>COUNTIF(Schedule!$AK$5:$AK$15,"*SICK*")</f>
        <v>0</v>
      </c>
      <c r="H39" s="22">
        <f>COUNTIF(Schedule!$AK$5:$AK$15,"*TRN*")</f>
        <v>0</v>
      </c>
      <c r="I39" s="22">
        <v>11</v>
      </c>
    </row>
    <row r="40" spans="1:9" ht="15" customHeight="1" x14ac:dyDescent="0.25">
      <c r="A40" s="21">
        <v>46223</v>
      </c>
      <c r="B40" s="22" t="s">
        <v>166</v>
      </c>
      <c r="C40" s="22">
        <f>COUNTBLANK(Schedule!$AL$5:$AL$15)</f>
        <v>11</v>
      </c>
      <c r="D40" s="22">
        <f t="shared" si="1"/>
        <v>0</v>
      </c>
      <c r="E40" s="22">
        <f>COUNTIF(Schedule!$AL$5:$AL$15,"*VAC*")</f>
        <v>0</v>
      </c>
      <c r="F40" s="22">
        <f>COUNTIF(Schedule!$AL$5:$AL$15,"*HOL*")</f>
        <v>0</v>
      </c>
      <c r="G40" s="22">
        <f>COUNTIF(Schedule!$AL$5:$AL$15,"*SICK*")</f>
        <v>0</v>
      </c>
      <c r="H40" s="22">
        <f>COUNTIF(Schedule!$AL$5:$AL$15,"*TRN*")</f>
        <v>0</v>
      </c>
      <c r="I40" s="22">
        <v>11</v>
      </c>
    </row>
    <row r="41" spans="1:9" ht="15" customHeight="1" x14ac:dyDescent="0.25">
      <c r="A41" s="21">
        <v>46224</v>
      </c>
      <c r="B41" s="22" t="s">
        <v>167</v>
      </c>
      <c r="C41" s="22">
        <f>COUNTBLANK(Schedule!$AM$5:$AM$15)</f>
        <v>11</v>
      </c>
      <c r="D41" s="22">
        <f t="shared" si="1"/>
        <v>0</v>
      </c>
      <c r="E41" s="22">
        <f>COUNTIF(Schedule!$AM$5:$AM$15,"*VAC*")</f>
        <v>0</v>
      </c>
      <c r="F41" s="22">
        <f>COUNTIF(Schedule!$AM$5:$AM$15,"*HOL*")</f>
        <v>0</v>
      </c>
      <c r="G41" s="22">
        <f>COUNTIF(Schedule!$AM$5:$AM$15,"*SICK*")</f>
        <v>0</v>
      </c>
      <c r="H41" s="22">
        <f>COUNTIF(Schedule!$AM$5:$AM$15,"*TRN*")</f>
        <v>0</v>
      </c>
      <c r="I41" s="22">
        <v>11</v>
      </c>
    </row>
    <row r="42" spans="1:9" ht="15" customHeight="1" x14ac:dyDescent="0.25">
      <c r="A42" s="21">
        <v>46225</v>
      </c>
      <c r="B42" s="22" t="s">
        <v>168</v>
      </c>
      <c r="C42" s="22">
        <f>COUNTBLANK(Schedule!$AN$5:$AN$15)</f>
        <v>11</v>
      </c>
      <c r="D42" s="22">
        <f t="shared" si="1"/>
        <v>0</v>
      </c>
      <c r="E42" s="22">
        <f>COUNTIF(Schedule!$AN$5:$AN$15,"*VAC*")</f>
        <v>0</v>
      </c>
      <c r="F42" s="22">
        <f>COUNTIF(Schedule!$AN$5:$AN$15,"*HOL*")</f>
        <v>0</v>
      </c>
      <c r="G42" s="22">
        <f>COUNTIF(Schedule!$AN$5:$AN$15,"*SICK*")</f>
        <v>0</v>
      </c>
      <c r="H42" s="22">
        <f>COUNTIF(Schedule!$AN$5:$AN$15,"*TRN*")</f>
        <v>0</v>
      </c>
      <c r="I42" s="22">
        <v>11</v>
      </c>
    </row>
    <row r="43" spans="1:9" ht="15" customHeight="1" x14ac:dyDescent="0.25">
      <c r="A43" s="21">
        <v>46226</v>
      </c>
      <c r="B43" s="22" t="s">
        <v>167</v>
      </c>
      <c r="C43" s="22">
        <f>COUNTBLANK(Schedule!$AO$5:$AO$15)</f>
        <v>11</v>
      </c>
      <c r="D43" s="22">
        <f t="shared" si="1"/>
        <v>0</v>
      </c>
      <c r="E43" s="22">
        <f>COUNTIF(Schedule!$AO$5:$AO$15,"*VAC*")</f>
        <v>0</v>
      </c>
      <c r="F43" s="22">
        <f>COUNTIF(Schedule!$AO$5:$AO$15,"*HOL*")</f>
        <v>0</v>
      </c>
      <c r="G43" s="22">
        <f>COUNTIF(Schedule!$AO$5:$AO$15,"*SICK*")</f>
        <v>0</v>
      </c>
      <c r="H43" s="22">
        <f>COUNTIF(Schedule!$AO$5:$AO$15,"*TRN*")</f>
        <v>0</v>
      </c>
      <c r="I43" s="22">
        <v>11</v>
      </c>
    </row>
    <row r="44" spans="1:9" ht="15" customHeight="1" x14ac:dyDescent="0.25">
      <c r="A44" s="21">
        <v>46227</v>
      </c>
      <c r="B44" s="22" t="s">
        <v>169</v>
      </c>
      <c r="C44" s="22">
        <f>COUNTBLANK(Schedule!$AP$5:$AP$15)</f>
        <v>11</v>
      </c>
      <c r="D44" s="22">
        <f t="shared" si="1"/>
        <v>0</v>
      </c>
      <c r="E44" s="22">
        <f>COUNTIF(Schedule!$AP$5:$AP$15,"*VAC*")</f>
        <v>0</v>
      </c>
      <c r="F44" s="22">
        <f>COUNTIF(Schedule!$AP$5:$AP$15,"*HOL*")</f>
        <v>0</v>
      </c>
      <c r="G44" s="22">
        <f>COUNTIF(Schedule!$AP$5:$AP$15,"*SICK*")</f>
        <v>0</v>
      </c>
      <c r="H44" s="22">
        <f>COUNTIF(Schedule!$AP$5:$AP$15,"*TRN*")</f>
        <v>0</v>
      </c>
      <c r="I44" s="22">
        <v>11</v>
      </c>
    </row>
    <row r="45" spans="1:9" ht="15" customHeight="1" x14ac:dyDescent="0.25">
      <c r="A45" s="21">
        <v>46228</v>
      </c>
      <c r="B45" s="22" t="s">
        <v>170</v>
      </c>
      <c r="C45" s="22">
        <f>COUNTBLANK(Schedule!$AQ$5:$AQ$15)</f>
        <v>11</v>
      </c>
      <c r="D45" s="22">
        <f t="shared" si="1"/>
        <v>0</v>
      </c>
      <c r="E45" s="22">
        <f>COUNTIF(Schedule!$AQ$5:$AQ$15,"*VAC*")</f>
        <v>0</v>
      </c>
      <c r="F45" s="22">
        <f>COUNTIF(Schedule!$AQ$5:$AQ$15,"*HOL*")</f>
        <v>0</v>
      </c>
      <c r="G45" s="22">
        <f>COUNTIF(Schedule!$AQ$5:$AQ$15,"*SICK*")</f>
        <v>0</v>
      </c>
      <c r="H45" s="22">
        <f>COUNTIF(Schedule!$AQ$5:$AQ$15,"*TRN*")</f>
        <v>0</v>
      </c>
      <c r="I45" s="22">
        <v>11</v>
      </c>
    </row>
    <row r="46" spans="1:9" ht="15" customHeight="1" x14ac:dyDescent="0.25">
      <c r="A46" s="21">
        <v>46229</v>
      </c>
      <c r="B46" s="22" t="s">
        <v>170</v>
      </c>
      <c r="C46" s="22">
        <f>COUNTBLANK(Schedule!$AR$5:$AR$15)</f>
        <v>11</v>
      </c>
      <c r="D46" s="22">
        <f t="shared" si="1"/>
        <v>0</v>
      </c>
      <c r="E46" s="22">
        <f>COUNTIF(Schedule!$AR$5:$AR$15,"*VAC*")</f>
        <v>0</v>
      </c>
      <c r="F46" s="22">
        <f>COUNTIF(Schedule!$AR$5:$AR$15,"*HOL*")</f>
        <v>0</v>
      </c>
      <c r="G46" s="22">
        <f>COUNTIF(Schedule!$AR$5:$AR$15,"*SICK*")</f>
        <v>0</v>
      </c>
      <c r="H46" s="22">
        <f>COUNTIF(Schedule!$AR$5:$AR$15,"*TRN*")</f>
        <v>0</v>
      </c>
      <c r="I46" s="22">
        <v>11</v>
      </c>
    </row>
    <row r="47" spans="1:9" ht="15" customHeight="1" x14ac:dyDescent="0.25">
      <c r="A47" s="21">
        <v>46230</v>
      </c>
      <c r="B47" s="22" t="s">
        <v>166</v>
      </c>
      <c r="C47" s="22">
        <f>COUNTBLANK(Schedule!$AS$5:$AS$15)</f>
        <v>11</v>
      </c>
      <c r="D47" s="22">
        <f t="shared" si="1"/>
        <v>0</v>
      </c>
      <c r="E47" s="22">
        <f>COUNTIF(Schedule!$AS$5:$AS$15,"*VAC*")</f>
        <v>0</v>
      </c>
      <c r="F47" s="22">
        <f>COUNTIF(Schedule!$AS$5:$AS$15,"*HOL*")</f>
        <v>0</v>
      </c>
      <c r="G47" s="22">
        <f>COUNTIF(Schedule!$AS$5:$AS$15,"*SICK*")</f>
        <v>0</v>
      </c>
      <c r="H47" s="22">
        <f>COUNTIF(Schedule!$AS$5:$AS$15,"*TRN*")</f>
        <v>0</v>
      </c>
      <c r="I47" s="22">
        <v>11</v>
      </c>
    </row>
    <row r="48" spans="1:9" ht="15" customHeight="1" x14ac:dyDescent="0.25">
      <c r="A48" s="21">
        <v>46231</v>
      </c>
      <c r="B48" s="22" t="s">
        <v>167</v>
      </c>
      <c r="C48" s="22">
        <f>COUNTBLANK(Schedule!$AT$5:$AT$15)</f>
        <v>11</v>
      </c>
      <c r="D48" s="22">
        <f t="shared" si="1"/>
        <v>0</v>
      </c>
      <c r="E48" s="22">
        <f>COUNTIF(Schedule!$AT$5:$AT$15,"*VAC*")</f>
        <v>0</v>
      </c>
      <c r="F48" s="22">
        <f>COUNTIF(Schedule!$AT$5:$AT$15,"*HOL*")</f>
        <v>0</v>
      </c>
      <c r="G48" s="22">
        <f>COUNTIF(Schedule!$AT$5:$AT$15,"*SICK*")</f>
        <v>0</v>
      </c>
      <c r="H48" s="22">
        <f>COUNTIF(Schedule!$AT$5:$AT$15,"*TRN*")</f>
        <v>0</v>
      </c>
      <c r="I48" s="22">
        <v>11</v>
      </c>
    </row>
    <row r="49" spans="1:9" ht="15" customHeight="1" x14ac:dyDescent="0.25">
      <c r="A49" s="21">
        <v>46232</v>
      </c>
      <c r="B49" s="22" t="s">
        <v>168</v>
      </c>
      <c r="C49" s="22">
        <f>COUNTBLANK(Schedule!$AU$5:$AU$15)</f>
        <v>11</v>
      </c>
      <c r="D49" s="22">
        <f t="shared" si="1"/>
        <v>0</v>
      </c>
      <c r="E49" s="22">
        <f>COUNTIF(Schedule!$AU$5:$AU$15,"*VAC*")</f>
        <v>0</v>
      </c>
      <c r="F49" s="22">
        <f>COUNTIF(Schedule!$AU$5:$AU$15,"*HOL*")</f>
        <v>0</v>
      </c>
      <c r="G49" s="22">
        <f>COUNTIF(Schedule!$AU$5:$AU$15,"*SICK*")</f>
        <v>0</v>
      </c>
      <c r="H49" s="22">
        <f>COUNTIF(Schedule!$AU$5:$AU$15,"*TRN*")</f>
        <v>0</v>
      </c>
      <c r="I49" s="22">
        <v>11</v>
      </c>
    </row>
    <row r="50" spans="1:9" ht="15" customHeight="1" x14ac:dyDescent="0.25">
      <c r="A50" s="21">
        <v>46233</v>
      </c>
      <c r="B50" s="22" t="s">
        <v>167</v>
      </c>
      <c r="C50" s="22">
        <f>COUNTBLANK(Schedule!$AV$5:$AV$15)</f>
        <v>11</v>
      </c>
      <c r="D50" s="22">
        <f t="shared" si="1"/>
        <v>0</v>
      </c>
      <c r="E50" s="22">
        <f>COUNTIF(Schedule!$AV$5:$AV$15,"*VAC*")</f>
        <v>0</v>
      </c>
      <c r="F50" s="22">
        <f>COUNTIF(Schedule!$AV$5:$AV$15,"*HOL*")</f>
        <v>0</v>
      </c>
      <c r="G50" s="22">
        <f>COUNTIF(Schedule!$AV$5:$AV$15,"*SICK*")</f>
        <v>0</v>
      </c>
      <c r="H50" s="22">
        <f>COUNTIF(Schedule!$AV$5:$AV$15,"*TRN*")</f>
        <v>0</v>
      </c>
      <c r="I50" s="22">
        <v>11</v>
      </c>
    </row>
    <row r="51" spans="1:9" ht="15" customHeight="1" x14ac:dyDescent="0.25">
      <c r="A51" s="21">
        <v>46234</v>
      </c>
      <c r="B51" s="22" t="s">
        <v>169</v>
      </c>
      <c r="C51" s="22">
        <f>COUNTBLANK(Schedule!$AW$5:$AW$15)</f>
        <v>11</v>
      </c>
      <c r="D51" s="22">
        <f t="shared" si="1"/>
        <v>0</v>
      </c>
      <c r="E51" s="22">
        <f>COUNTIF(Schedule!$AW$5:$AW$15,"*VAC*")</f>
        <v>0</v>
      </c>
      <c r="F51" s="22">
        <f>COUNTIF(Schedule!$AW$5:$AW$15,"*HOL*")</f>
        <v>0</v>
      </c>
      <c r="G51" s="22">
        <f>COUNTIF(Schedule!$AW$5:$AW$15,"*SICK*")</f>
        <v>0</v>
      </c>
      <c r="H51" s="22">
        <f>COUNTIF(Schedule!$AW$5:$AW$15,"*TRN*")</f>
        <v>0</v>
      </c>
      <c r="I51" s="22">
        <v>11</v>
      </c>
    </row>
    <row r="52" spans="1:9" ht="15" customHeight="1" x14ac:dyDescent="0.25">
      <c r="A52" s="21">
        <v>46235</v>
      </c>
      <c r="B52" s="22" t="s">
        <v>170</v>
      </c>
      <c r="C52" s="22">
        <f>COUNTBLANK(Schedule!$AX$5:$AX$15)</f>
        <v>11</v>
      </c>
      <c r="D52" s="22">
        <f t="shared" si="1"/>
        <v>0</v>
      </c>
      <c r="E52" s="22">
        <f>COUNTIF(Schedule!$AX$5:$AX$15,"*VAC*")</f>
        <v>0</v>
      </c>
      <c r="F52" s="22">
        <f>COUNTIF(Schedule!$AX$5:$AX$15,"*HOL*")</f>
        <v>0</v>
      </c>
      <c r="G52" s="22">
        <f>COUNTIF(Schedule!$AX$5:$AX$15,"*SICK*")</f>
        <v>0</v>
      </c>
      <c r="H52" s="22">
        <f>COUNTIF(Schedule!$AX$5:$AX$15,"*TRN*")</f>
        <v>0</v>
      </c>
      <c r="I52" s="22">
        <v>11</v>
      </c>
    </row>
    <row r="53" spans="1:9" ht="15" customHeight="1" x14ac:dyDescent="0.25">
      <c r="A53" s="21">
        <v>46236</v>
      </c>
      <c r="B53" s="22" t="s">
        <v>170</v>
      </c>
      <c r="C53" s="22">
        <f>COUNTBLANK(Schedule!$AY$5:$AY$15)</f>
        <v>11</v>
      </c>
      <c r="D53" s="22">
        <f t="shared" si="1"/>
        <v>0</v>
      </c>
      <c r="E53" s="22">
        <f>COUNTIF(Schedule!$AY$5:$AY$15,"*VAC*")</f>
        <v>0</v>
      </c>
      <c r="F53" s="22">
        <f>COUNTIF(Schedule!$AY$5:$AY$15,"*HOL*")</f>
        <v>0</v>
      </c>
      <c r="G53" s="22">
        <f>COUNTIF(Schedule!$AY$5:$AY$15,"*SICK*")</f>
        <v>0</v>
      </c>
      <c r="H53" s="22">
        <f>COUNTIF(Schedule!$AY$5:$AY$15,"*TRN*")</f>
        <v>0</v>
      </c>
      <c r="I53" s="22">
        <v>11</v>
      </c>
    </row>
    <row r="54" spans="1:9" ht="15" customHeight="1" x14ac:dyDescent="0.25">
      <c r="A54" s="21">
        <v>46237</v>
      </c>
      <c r="B54" s="22" t="s">
        <v>166</v>
      </c>
      <c r="C54" s="22">
        <f>COUNTBLANK(Schedule!$AZ$5:$AZ$15)</f>
        <v>11</v>
      </c>
      <c r="D54" s="22">
        <f t="shared" si="1"/>
        <v>0</v>
      </c>
      <c r="E54" s="22">
        <f>COUNTIF(Schedule!$AZ$5:$AZ$15,"*VAC*")</f>
        <v>0</v>
      </c>
      <c r="F54" s="22">
        <f>COUNTIF(Schedule!$AZ$5:$AZ$15,"*HOL*")</f>
        <v>0</v>
      </c>
      <c r="G54" s="22">
        <f>COUNTIF(Schedule!$AZ$5:$AZ$15,"*SICK*")</f>
        <v>0</v>
      </c>
      <c r="H54" s="22">
        <f>COUNTIF(Schedule!$AZ$5:$AZ$15,"*TRN*")</f>
        <v>0</v>
      </c>
      <c r="I54" s="22">
        <v>11</v>
      </c>
    </row>
    <row r="55" spans="1:9" ht="15" customHeight="1" x14ac:dyDescent="0.25">
      <c r="A55" s="21">
        <v>46238</v>
      </c>
      <c r="B55" s="22" t="s">
        <v>167</v>
      </c>
      <c r="C55" s="22">
        <f>COUNTBLANK(Schedule!$BA$5:$BA$15)</f>
        <v>11</v>
      </c>
      <c r="D55" s="22">
        <f t="shared" si="1"/>
        <v>0</v>
      </c>
      <c r="E55" s="22">
        <f>COUNTIF(Schedule!$BA$5:$BA$15,"*VAC*")</f>
        <v>0</v>
      </c>
      <c r="F55" s="22">
        <f>COUNTIF(Schedule!$BA$5:$BA$15,"*HOL*")</f>
        <v>0</v>
      </c>
      <c r="G55" s="22">
        <f>COUNTIF(Schedule!$BA$5:$BA$15,"*SICK*")</f>
        <v>0</v>
      </c>
      <c r="H55" s="22">
        <f>COUNTIF(Schedule!$BA$5:$BA$15,"*TRN*")</f>
        <v>0</v>
      </c>
      <c r="I55" s="22">
        <v>11</v>
      </c>
    </row>
    <row r="56" spans="1:9" ht="15" customHeight="1" x14ac:dyDescent="0.25">
      <c r="A56" s="21">
        <v>46239</v>
      </c>
      <c r="B56" s="22" t="s">
        <v>168</v>
      </c>
      <c r="C56" s="22">
        <f>COUNTBLANK(Schedule!$BB$5:$BB$15)</f>
        <v>11</v>
      </c>
      <c r="D56" s="22">
        <f t="shared" si="1"/>
        <v>0</v>
      </c>
      <c r="E56" s="22">
        <f>COUNTIF(Schedule!$BB$5:$BB$15,"*VAC*")</f>
        <v>0</v>
      </c>
      <c r="F56" s="22">
        <f>COUNTIF(Schedule!$BB$5:$BB$15,"*HOL*")</f>
        <v>0</v>
      </c>
      <c r="G56" s="22">
        <f>COUNTIF(Schedule!$BB$5:$BB$15,"*SICK*")</f>
        <v>0</v>
      </c>
      <c r="H56" s="22">
        <f>COUNTIF(Schedule!$BB$5:$BB$15,"*TRN*")</f>
        <v>0</v>
      </c>
      <c r="I56" s="22">
        <v>11</v>
      </c>
    </row>
    <row r="57" spans="1:9" ht="15" customHeight="1" x14ac:dyDescent="0.25">
      <c r="A57" s="21">
        <v>46240</v>
      </c>
      <c r="B57" s="22" t="s">
        <v>167</v>
      </c>
      <c r="C57" s="22">
        <f>COUNTBLANK(Schedule!$BC$5:$BC$15)</f>
        <v>11</v>
      </c>
      <c r="D57" s="22">
        <f t="shared" si="1"/>
        <v>0</v>
      </c>
      <c r="E57" s="22">
        <f>COUNTIF(Schedule!$BC$5:$BC$15,"*VAC*")</f>
        <v>0</v>
      </c>
      <c r="F57" s="22">
        <f>COUNTIF(Schedule!$BC$5:$BC$15,"*HOL*")</f>
        <v>0</v>
      </c>
      <c r="G57" s="22">
        <f>COUNTIF(Schedule!$BC$5:$BC$15,"*SICK*")</f>
        <v>0</v>
      </c>
      <c r="H57" s="22">
        <f>COUNTIF(Schedule!$BC$5:$BC$15,"*TRN*")</f>
        <v>0</v>
      </c>
      <c r="I57" s="22">
        <v>11</v>
      </c>
    </row>
    <row r="58" spans="1:9" ht="15" customHeight="1" x14ac:dyDescent="0.25">
      <c r="A58" s="21">
        <v>46241</v>
      </c>
      <c r="B58" s="22" t="s">
        <v>169</v>
      </c>
      <c r="C58" s="22">
        <f>COUNTBLANK(Schedule!$BD$5:$BD$15)</f>
        <v>11</v>
      </c>
      <c r="D58" s="22">
        <f t="shared" si="1"/>
        <v>0</v>
      </c>
      <c r="E58" s="22">
        <f>COUNTIF(Schedule!$BD$5:$BD$15,"*VAC*")</f>
        <v>0</v>
      </c>
      <c r="F58" s="22">
        <f>COUNTIF(Schedule!$BD$5:$BD$15,"*HOL*")</f>
        <v>0</v>
      </c>
      <c r="G58" s="22">
        <f>COUNTIF(Schedule!$BD$5:$BD$15,"*SICK*")</f>
        <v>0</v>
      </c>
      <c r="H58" s="22">
        <f>COUNTIF(Schedule!$BD$5:$BD$15,"*TRN*")</f>
        <v>0</v>
      </c>
      <c r="I58" s="22">
        <v>11</v>
      </c>
    </row>
    <row r="59" spans="1:9" ht="15" customHeight="1" x14ac:dyDescent="0.25">
      <c r="A59" s="21">
        <v>46242</v>
      </c>
      <c r="B59" s="22" t="s">
        <v>170</v>
      </c>
      <c r="C59" s="22">
        <f>COUNTBLANK(Schedule!$BE$5:$BE$15)</f>
        <v>11</v>
      </c>
      <c r="D59" s="22">
        <f t="shared" si="1"/>
        <v>0</v>
      </c>
      <c r="E59" s="22">
        <f>COUNTIF(Schedule!$BE$5:$BE$15,"*VAC*")</f>
        <v>0</v>
      </c>
      <c r="F59" s="22">
        <f>COUNTIF(Schedule!$BE$5:$BE$15,"*HOL*")</f>
        <v>0</v>
      </c>
      <c r="G59" s="22">
        <f>COUNTIF(Schedule!$BE$5:$BE$15,"*SICK*")</f>
        <v>0</v>
      </c>
      <c r="H59" s="22">
        <f>COUNTIF(Schedule!$BE$5:$BE$15,"*TRN*")</f>
        <v>0</v>
      </c>
      <c r="I59" s="22">
        <v>11</v>
      </c>
    </row>
    <row r="60" spans="1:9" ht="15" customHeight="1" x14ac:dyDescent="0.25">
      <c r="A60" s="21">
        <v>46243</v>
      </c>
      <c r="B60" s="22" t="s">
        <v>170</v>
      </c>
      <c r="C60" s="22">
        <f>COUNTBLANK(Schedule!$BF$5:$BF$15)</f>
        <v>11</v>
      </c>
      <c r="D60" s="22">
        <f t="shared" si="1"/>
        <v>0</v>
      </c>
      <c r="E60" s="22">
        <f>COUNTIF(Schedule!$BF$5:$BF$15,"*VAC*")</f>
        <v>0</v>
      </c>
      <c r="F60" s="22">
        <f>COUNTIF(Schedule!$BF$5:$BF$15,"*HOL*")</f>
        <v>0</v>
      </c>
      <c r="G60" s="22">
        <f>COUNTIF(Schedule!$BF$5:$BF$15,"*SICK*")</f>
        <v>0</v>
      </c>
      <c r="H60" s="22">
        <f>COUNTIF(Schedule!$BF$5:$BF$15,"*TRN*")</f>
        <v>0</v>
      </c>
      <c r="I60" s="22">
        <v>11</v>
      </c>
    </row>
    <row r="61" spans="1:9" ht="15" customHeight="1" x14ac:dyDescent="0.25">
      <c r="A61" s="21">
        <v>46244</v>
      </c>
      <c r="B61" s="22" t="s">
        <v>166</v>
      </c>
      <c r="C61" s="22">
        <f>COUNTBLANK(Schedule!$BG$5:$BG$15)</f>
        <v>11</v>
      </c>
      <c r="D61" s="22">
        <f t="shared" si="1"/>
        <v>0</v>
      </c>
      <c r="E61" s="22">
        <f>COUNTIF(Schedule!$BG$5:$BG$15,"*VAC*")</f>
        <v>0</v>
      </c>
      <c r="F61" s="22">
        <f>COUNTIF(Schedule!$BG$5:$BG$15,"*HOL*")</f>
        <v>0</v>
      </c>
      <c r="G61" s="22">
        <f>COUNTIF(Schedule!$BG$5:$BG$15,"*SICK*")</f>
        <v>0</v>
      </c>
      <c r="H61" s="22">
        <f>COUNTIF(Schedule!$BG$5:$BG$15,"*TRN*")</f>
        <v>0</v>
      </c>
      <c r="I61" s="22">
        <v>11</v>
      </c>
    </row>
    <row r="62" spans="1:9" ht="15" customHeight="1" x14ac:dyDescent="0.25">
      <c r="A62" s="21">
        <v>46245</v>
      </c>
      <c r="B62" s="22" t="s">
        <v>167</v>
      </c>
      <c r="C62" s="22">
        <f>COUNTBLANK(Schedule!$BH$5:$BH$15)</f>
        <v>11</v>
      </c>
      <c r="D62" s="22">
        <f t="shared" si="1"/>
        <v>0</v>
      </c>
      <c r="E62" s="22">
        <f>COUNTIF(Schedule!$BH$5:$BH$15,"*VAC*")</f>
        <v>0</v>
      </c>
      <c r="F62" s="22">
        <f>COUNTIF(Schedule!$BH$5:$BH$15,"*HOL*")</f>
        <v>0</v>
      </c>
      <c r="G62" s="22">
        <f>COUNTIF(Schedule!$BH$5:$BH$15,"*SICK*")</f>
        <v>0</v>
      </c>
      <c r="H62" s="22">
        <f>COUNTIF(Schedule!$BH$5:$BH$15,"*TRN*")</f>
        <v>0</v>
      </c>
      <c r="I62" s="22">
        <v>11</v>
      </c>
    </row>
    <row r="63" spans="1:9" ht="15" customHeight="1" x14ac:dyDescent="0.25">
      <c r="A63" s="21">
        <v>46246</v>
      </c>
      <c r="B63" s="22" t="s">
        <v>168</v>
      </c>
      <c r="C63" s="22">
        <f>COUNTBLANK(Schedule!$BI$5:$BI$15)</f>
        <v>11</v>
      </c>
      <c r="D63" s="22">
        <f t="shared" si="1"/>
        <v>0</v>
      </c>
      <c r="E63" s="22">
        <f>COUNTIF(Schedule!$BI$5:$BI$15,"*VAC*")</f>
        <v>0</v>
      </c>
      <c r="F63" s="22">
        <f>COUNTIF(Schedule!$BI$5:$BI$15,"*HOL*")</f>
        <v>0</v>
      </c>
      <c r="G63" s="22">
        <f>COUNTIF(Schedule!$BI$5:$BI$15,"*SICK*")</f>
        <v>0</v>
      </c>
      <c r="H63" s="22">
        <f>COUNTIF(Schedule!$BI$5:$BI$15,"*TRN*")</f>
        <v>0</v>
      </c>
      <c r="I63" s="22">
        <v>11</v>
      </c>
    </row>
    <row r="64" spans="1:9" ht="15" customHeight="1" x14ac:dyDescent="0.25">
      <c r="A64" s="21">
        <v>46247</v>
      </c>
      <c r="B64" s="22" t="s">
        <v>167</v>
      </c>
      <c r="C64" s="22">
        <f>COUNTBLANK(Schedule!$BJ$5:$BJ$15)</f>
        <v>11</v>
      </c>
      <c r="D64" s="22">
        <f t="shared" si="1"/>
        <v>0</v>
      </c>
      <c r="E64" s="22">
        <f>COUNTIF(Schedule!$BJ$5:$BJ$15,"*VAC*")</f>
        <v>0</v>
      </c>
      <c r="F64" s="22">
        <f>COUNTIF(Schedule!$BJ$5:$BJ$15,"*HOL*")</f>
        <v>0</v>
      </c>
      <c r="G64" s="22">
        <f>COUNTIF(Schedule!$BJ$5:$BJ$15,"*SICK*")</f>
        <v>0</v>
      </c>
      <c r="H64" s="22">
        <f>COUNTIF(Schedule!$BJ$5:$BJ$15,"*TRN*")</f>
        <v>0</v>
      </c>
      <c r="I64" s="22">
        <v>11</v>
      </c>
    </row>
    <row r="65" spans="1:9" ht="15" customHeight="1" x14ac:dyDescent="0.25">
      <c r="A65" s="21">
        <v>46248</v>
      </c>
      <c r="B65" s="22" t="s">
        <v>169</v>
      </c>
      <c r="C65" s="22">
        <f>COUNTBLANK(Schedule!$BK$5:$BK$15)</f>
        <v>11</v>
      </c>
      <c r="D65" s="22">
        <f t="shared" si="1"/>
        <v>0</v>
      </c>
      <c r="E65" s="22">
        <f>COUNTIF(Schedule!$BK$5:$BK$15,"*VAC*")</f>
        <v>0</v>
      </c>
      <c r="F65" s="22">
        <f>COUNTIF(Schedule!$BK$5:$BK$15,"*HOL*")</f>
        <v>0</v>
      </c>
      <c r="G65" s="22">
        <f>COUNTIF(Schedule!$BK$5:$BK$15,"*SICK*")</f>
        <v>0</v>
      </c>
      <c r="H65" s="22">
        <f>COUNTIF(Schedule!$BK$5:$BK$15,"*TRN*")</f>
        <v>0</v>
      </c>
      <c r="I65" s="22">
        <v>11</v>
      </c>
    </row>
    <row r="66" spans="1:9" ht="15" customHeight="1" x14ac:dyDescent="0.25">
      <c r="A66" s="21">
        <v>46249</v>
      </c>
      <c r="B66" s="22" t="s">
        <v>170</v>
      </c>
      <c r="C66" s="22">
        <f>COUNTBLANK(Schedule!$BL$5:$BL$15)</f>
        <v>11</v>
      </c>
      <c r="D66" s="22">
        <f t="shared" si="1"/>
        <v>0</v>
      </c>
      <c r="E66" s="22">
        <f>COUNTIF(Schedule!$BL$5:$BL$15,"*VAC*")</f>
        <v>0</v>
      </c>
      <c r="F66" s="22">
        <f>COUNTIF(Schedule!$BL$5:$BL$15,"*HOL*")</f>
        <v>0</v>
      </c>
      <c r="G66" s="22">
        <f>COUNTIF(Schedule!$BL$5:$BL$15,"*SICK*")</f>
        <v>0</v>
      </c>
      <c r="H66" s="22">
        <f>COUNTIF(Schedule!$BL$5:$BL$15,"*TRN*")</f>
        <v>0</v>
      </c>
      <c r="I66" s="22">
        <v>11</v>
      </c>
    </row>
    <row r="67" spans="1:9" ht="15" customHeight="1" x14ac:dyDescent="0.25">
      <c r="A67" s="21">
        <v>46250</v>
      </c>
      <c r="B67" s="22" t="s">
        <v>170</v>
      </c>
      <c r="C67" s="22">
        <f>COUNTBLANK(Schedule!$BM$5:$BM$15)</f>
        <v>11</v>
      </c>
      <c r="D67" s="22">
        <f t="shared" si="1"/>
        <v>0</v>
      </c>
      <c r="E67" s="22">
        <f>COUNTIF(Schedule!$BM$5:$BM$15,"*VAC*")</f>
        <v>0</v>
      </c>
      <c r="F67" s="22">
        <f>COUNTIF(Schedule!$BM$5:$BM$15,"*HOL*")</f>
        <v>0</v>
      </c>
      <c r="G67" s="22">
        <f>COUNTIF(Schedule!$BM$5:$BM$15,"*SICK*")</f>
        <v>0</v>
      </c>
      <c r="H67" s="22">
        <f>COUNTIF(Schedule!$BM$5:$BM$15,"*TRN*")</f>
        <v>0</v>
      </c>
      <c r="I67" s="22">
        <v>11</v>
      </c>
    </row>
    <row r="68" spans="1:9" ht="15" customHeight="1" x14ac:dyDescent="0.25">
      <c r="A68" s="21">
        <v>46251</v>
      </c>
      <c r="B68" s="22" t="s">
        <v>166</v>
      </c>
      <c r="C68" s="22">
        <f>COUNTBLANK(Schedule!$BN$5:$BN$15)</f>
        <v>11</v>
      </c>
      <c r="D68" s="22">
        <f t="shared" si="1"/>
        <v>0</v>
      </c>
      <c r="E68" s="22">
        <f>COUNTIF(Schedule!$BN$5:$BN$15,"*VAC*")</f>
        <v>0</v>
      </c>
      <c r="F68" s="22">
        <f>COUNTIF(Schedule!$BN$5:$BN$15,"*HOL*")</f>
        <v>0</v>
      </c>
      <c r="G68" s="22">
        <f>COUNTIF(Schedule!$BN$5:$BN$15,"*SICK*")</f>
        <v>0</v>
      </c>
      <c r="H68" s="22">
        <f>COUNTIF(Schedule!$BN$5:$BN$15,"*TRN*")</f>
        <v>0</v>
      </c>
      <c r="I68" s="22">
        <v>11</v>
      </c>
    </row>
    <row r="69" spans="1:9" ht="15" customHeight="1" x14ac:dyDescent="0.25">
      <c r="A69" s="21">
        <v>46252</v>
      </c>
      <c r="B69" s="22" t="s">
        <v>167</v>
      </c>
      <c r="C69" s="22">
        <f>COUNTBLANK(Schedule!$BO$5:$BO$15)</f>
        <v>11</v>
      </c>
      <c r="D69" s="22">
        <f t="shared" ref="D69:D100" si="2">I69-C69-E69-F69-G69-H69</f>
        <v>0</v>
      </c>
      <c r="E69" s="22">
        <f>COUNTIF(Schedule!$BO$5:$BO$15,"*VAC*")</f>
        <v>0</v>
      </c>
      <c r="F69" s="22">
        <f>COUNTIF(Schedule!$BO$5:$BO$15,"*HOL*")</f>
        <v>0</v>
      </c>
      <c r="G69" s="22">
        <f>COUNTIF(Schedule!$BO$5:$BO$15,"*SICK*")</f>
        <v>0</v>
      </c>
      <c r="H69" s="22">
        <f>COUNTIF(Schedule!$BO$5:$BO$15,"*TRN*")</f>
        <v>0</v>
      </c>
      <c r="I69" s="22">
        <v>11</v>
      </c>
    </row>
    <row r="70" spans="1:9" ht="15" customHeight="1" x14ac:dyDescent="0.25">
      <c r="A70" s="21">
        <v>46253</v>
      </c>
      <c r="B70" s="22" t="s">
        <v>168</v>
      </c>
      <c r="C70" s="22">
        <f>COUNTBLANK(Schedule!$BP$5:$BP$15)</f>
        <v>11</v>
      </c>
      <c r="D70" s="22">
        <f t="shared" si="2"/>
        <v>0</v>
      </c>
      <c r="E70" s="22">
        <f>COUNTIF(Schedule!$BP$5:$BP$15,"*VAC*")</f>
        <v>0</v>
      </c>
      <c r="F70" s="22">
        <f>COUNTIF(Schedule!$BP$5:$BP$15,"*HOL*")</f>
        <v>0</v>
      </c>
      <c r="G70" s="22">
        <f>COUNTIF(Schedule!$BP$5:$BP$15,"*SICK*")</f>
        <v>0</v>
      </c>
      <c r="H70" s="22">
        <f>COUNTIF(Schedule!$BP$5:$BP$15,"*TRN*")</f>
        <v>0</v>
      </c>
      <c r="I70" s="22">
        <v>11</v>
      </c>
    </row>
    <row r="71" spans="1:9" ht="15" customHeight="1" x14ac:dyDescent="0.25">
      <c r="A71" s="21">
        <v>46254</v>
      </c>
      <c r="B71" s="22" t="s">
        <v>167</v>
      </c>
      <c r="C71" s="22">
        <f>COUNTBLANK(Schedule!$BQ$5:$BQ$15)</f>
        <v>11</v>
      </c>
      <c r="D71" s="22">
        <f t="shared" si="2"/>
        <v>0</v>
      </c>
      <c r="E71" s="22">
        <f>COUNTIF(Schedule!$BQ$5:$BQ$15,"*VAC*")</f>
        <v>0</v>
      </c>
      <c r="F71" s="22">
        <f>COUNTIF(Schedule!$BQ$5:$BQ$15,"*HOL*")</f>
        <v>0</v>
      </c>
      <c r="G71" s="22">
        <f>COUNTIF(Schedule!$BQ$5:$BQ$15,"*SICK*")</f>
        <v>0</v>
      </c>
      <c r="H71" s="22">
        <f>COUNTIF(Schedule!$BQ$5:$BQ$15,"*TRN*")</f>
        <v>0</v>
      </c>
      <c r="I71" s="22">
        <v>11</v>
      </c>
    </row>
    <row r="72" spans="1:9" ht="15" customHeight="1" x14ac:dyDescent="0.25">
      <c r="A72" s="21">
        <v>46255</v>
      </c>
      <c r="B72" s="22" t="s">
        <v>169</v>
      </c>
      <c r="C72" s="22">
        <f>COUNTBLANK(Schedule!$BR$5:$BR$15)</f>
        <v>11</v>
      </c>
      <c r="D72" s="22">
        <f t="shared" si="2"/>
        <v>0</v>
      </c>
      <c r="E72" s="22">
        <f>COUNTIF(Schedule!$BR$5:$BR$15,"*VAC*")</f>
        <v>0</v>
      </c>
      <c r="F72" s="22">
        <f>COUNTIF(Schedule!$BR$5:$BR$15,"*HOL*")</f>
        <v>0</v>
      </c>
      <c r="G72" s="22">
        <f>COUNTIF(Schedule!$BR$5:$BR$15,"*SICK*")</f>
        <v>0</v>
      </c>
      <c r="H72" s="22">
        <f>COUNTIF(Schedule!$BR$5:$BR$15,"*TRN*")</f>
        <v>0</v>
      </c>
      <c r="I72" s="22">
        <v>11</v>
      </c>
    </row>
    <row r="73" spans="1:9" ht="15" customHeight="1" x14ac:dyDescent="0.25">
      <c r="A73" s="21">
        <v>46256</v>
      </c>
      <c r="B73" s="22" t="s">
        <v>170</v>
      </c>
      <c r="C73" s="22">
        <f>COUNTBLANK(Schedule!$BS$5:$BS$15)</f>
        <v>11</v>
      </c>
      <c r="D73" s="22">
        <f t="shared" si="2"/>
        <v>0</v>
      </c>
      <c r="E73" s="22">
        <f>COUNTIF(Schedule!$BS$5:$BS$15,"*VAC*")</f>
        <v>0</v>
      </c>
      <c r="F73" s="22">
        <f>COUNTIF(Schedule!$BS$5:$BS$15,"*HOL*")</f>
        <v>0</v>
      </c>
      <c r="G73" s="22">
        <f>COUNTIF(Schedule!$BS$5:$BS$15,"*SICK*")</f>
        <v>0</v>
      </c>
      <c r="H73" s="22">
        <f>COUNTIF(Schedule!$BS$5:$BS$15,"*TRN*")</f>
        <v>0</v>
      </c>
      <c r="I73" s="22">
        <v>11</v>
      </c>
    </row>
    <row r="74" spans="1:9" ht="15" customHeight="1" x14ac:dyDescent="0.25">
      <c r="A74" s="21">
        <v>46257</v>
      </c>
      <c r="B74" s="22" t="s">
        <v>170</v>
      </c>
      <c r="C74" s="22">
        <f>COUNTBLANK(Schedule!$BT$5:$BT$15)</f>
        <v>11</v>
      </c>
      <c r="D74" s="22">
        <f t="shared" si="2"/>
        <v>0</v>
      </c>
      <c r="E74" s="22">
        <f>COUNTIF(Schedule!$BT$5:$BT$15,"*VAC*")</f>
        <v>0</v>
      </c>
      <c r="F74" s="22">
        <f>COUNTIF(Schedule!$BT$5:$BT$15,"*HOL*")</f>
        <v>0</v>
      </c>
      <c r="G74" s="22">
        <f>COUNTIF(Schedule!$BT$5:$BT$15,"*SICK*")</f>
        <v>0</v>
      </c>
      <c r="H74" s="22">
        <f>COUNTIF(Schedule!$BT$5:$BT$15,"*TRN*")</f>
        <v>0</v>
      </c>
      <c r="I74" s="22">
        <v>11</v>
      </c>
    </row>
    <row r="75" spans="1:9" ht="15" customHeight="1" x14ac:dyDescent="0.25">
      <c r="A75" s="21">
        <v>46258</v>
      </c>
      <c r="B75" s="22" t="s">
        <v>166</v>
      </c>
      <c r="C75" s="22">
        <f>COUNTBLANK(Schedule!$BU$5:$BU$15)</f>
        <v>11</v>
      </c>
      <c r="D75" s="22">
        <f t="shared" si="2"/>
        <v>0</v>
      </c>
      <c r="E75" s="22">
        <f>COUNTIF(Schedule!$BU$5:$BU$15,"*VAC*")</f>
        <v>0</v>
      </c>
      <c r="F75" s="22">
        <f>COUNTIF(Schedule!$BU$5:$BU$15,"*HOL*")</f>
        <v>0</v>
      </c>
      <c r="G75" s="22">
        <f>COUNTIF(Schedule!$BU$5:$BU$15,"*SICK*")</f>
        <v>0</v>
      </c>
      <c r="H75" s="22">
        <f>COUNTIF(Schedule!$BU$5:$BU$15,"*TRN*")</f>
        <v>0</v>
      </c>
      <c r="I75" s="22">
        <v>11</v>
      </c>
    </row>
    <row r="76" spans="1:9" ht="15" customHeight="1" x14ac:dyDescent="0.25">
      <c r="A76" s="21">
        <v>46259</v>
      </c>
      <c r="B76" s="22" t="s">
        <v>167</v>
      </c>
      <c r="C76" s="22">
        <f>COUNTBLANK(Schedule!$BV$5:$BV$15)</f>
        <v>11</v>
      </c>
      <c r="D76" s="22">
        <f t="shared" si="2"/>
        <v>0</v>
      </c>
      <c r="E76" s="22">
        <f>COUNTIF(Schedule!$BV$5:$BV$15,"*VAC*")</f>
        <v>0</v>
      </c>
      <c r="F76" s="22">
        <f>COUNTIF(Schedule!$BV$5:$BV$15,"*HOL*")</f>
        <v>0</v>
      </c>
      <c r="G76" s="22">
        <f>COUNTIF(Schedule!$BV$5:$BV$15,"*SICK*")</f>
        <v>0</v>
      </c>
      <c r="H76" s="22">
        <f>COUNTIF(Schedule!$BV$5:$BV$15,"*TRN*")</f>
        <v>0</v>
      </c>
      <c r="I76" s="22">
        <v>11</v>
      </c>
    </row>
    <row r="77" spans="1:9" ht="15" customHeight="1" x14ac:dyDescent="0.25">
      <c r="A77" s="21">
        <v>46260</v>
      </c>
      <c r="B77" s="22" t="s">
        <v>168</v>
      </c>
      <c r="C77" s="22">
        <f>COUNTBLANK(Schedule!$BW$5:$BW$15)</f>
        <v>11</v>
      </c>
      <c r="D77" s="22">
        <f t="shared" si="2"/>
        <v>0</v>
      </c>
      <c r="E77" s="22">
        <f>COUNTIF(Schedule!$BW$5:$BW$15,"*VAC*")</f>
        <v>0</v>
      </c>
      <c r="F77" s="22">
        <f>COUNTIF(Schedule!$BW$5:$BW$15,"*HOL*")</f>
        <v>0</v>
      </c>
      <c r="G77" s="22">
        <f>COUNTIF(Schedule!$BW$5:$BW$15,"*SICK*")</f>
        <v>0</v>
      </c>
      <c r="H77" s="22">
        <f>COUNTIF(Schedule!$BW$5:$BW$15,"*TRN*")</f>
        <v>0</v>
      </c>
      <c r="I77" s="22">
        <v>11</v>
      </c>
    </row>
    <row r="78" spans="1:9" ht="15" customHeight="1" x14ac:dyDescent="0.25">
      <c r="A78" s="21">
        <v>46261</v>
      </c>
      <c r="B78" s="22" t="s">
        <v>167</v>
      </c>
      <c r="C78" s="22">
        <f>COUNTBLANK(Schedule!$BX$5:$BX$15)</f>
        <v>11</v>
      </c>
      <c r="D78" s="22">
        <f t="shared" si="2"/>
        <v>0</v>
      </c>
      <c r="E78" s="22">
        <f>COUNTIF(Schedule!$BX$5:$BX$15,"*VAC*")</f>
        <v>0</v>
      </c>
      <c r="F78" s="22">
        <f>COUNTIF(Schedule!$BX$5:$BX$15,"*HOL*")</f>
        <v>0</v>
      </c>
      <c r="G78" s="22">
        <f>COUNTIF(Schedule!$BX$5:$BX$15,"*SICK*")</f>
        <v>0</v>
      </c>
      <c r="H78" s="22">
        <f>COUNTIF(Schedule!$BX$5:$BX$15,"*TRN*")</f>
        <v>0</v>
      </c>
      <c r="I78" s="22">
        <v>11</v>
      </c>
    </row>
    <row r="79" spans="1:9" ht="15" customHeight="1" x14ac:dyDescent="0.25">
      <c r="A79" s="21">
        <v>46262</v>
      </c>
      <c r="B79" s="22" t="s">
        <v>169</v>
      </c>
      <c r="C79" s="22">
        <f>COUNTBLANK(Schedule!$BY$5:$BY$15)</f>
        <v>10</v>
      </c>
      <c r="D79" s="22">
        <f t="shared" si="2"/>
        <v>0</v>
      </c>
      <c r="E79" s="22">
        <f>COUNTIF(Schedule!$BY$5:$BY$15,"*VAC*")</f>
        <v>1</v>
      </c>
      <c r="F79" s="22">
        <f>COUNTIF(Schedule!$BY$5:$BY$15,"*HOL*")</f>
        <v>0</v>
      </c>
      <c r="G79" s="22">
        <f>COUNTIF(Schedule!$BY$5:$BY$15,"*SICK*")</f>
        <v>0</v>
      </c>
      <c r="H79" s="22">
        <f>COUNTIF(Schedule!$BY$5:$BY$15,"*TRN*")</f>
        <v>0</v>
      </c>
      <c r="I79" s="22">
        <v>11</v>
      </c>
    </row>
    <row r="80" spans="1:9" ht="15" customHeight="1" x14ac:dyDescent="0.25">
      <c r="A80" s="21">
        <v>46263</v>
      </c>
      <c r="B80" s="22" t="s">
        <v>170</v>
      </c>
      <c r="C80" s="22">
        <f>COUNTBLANK(Schedule!$BZ$5:$BZ$15)</f>
        <v>11</v>
      </c>
      <c r="D80" s="22">
        <f t="shared" si="2"/>
        <v>0</v>
      </c>
      <c r="E80" s="22">
        <f>COUNTIF(Schedule!$BZ$5:$BZ$15,"*VAC*")</f>
        <v>0</v>
      </c>
      <c r="F80" s="22">
        <f>COUNTIF(Schedule!$BZ$5:$BZ$15,"*HOL*")</f>
        <v>0</v>
      </c>
      <c r="G80" s="22">
        <f>COUNTIF(Schedule!$BZ$5:$BZ$15,"*SICK*")</f>
        <v>0</v>
      </c>
      <c r="H80" s="22">
        <f>COUNTIF(Schedule!$BZ$5:$BZ$15,"*TRN*")</f>
        <v>0</v>
      </c>
      <c r="I80" s="22">
        <v>11</v>
      </c>
    </row>
    <row r="81" spans="1:9" ht="15" customHeight="1" x14ac:dyDescent="0.25">
      <c r="A81" s="21">
        <v>46264</v>
      </c>
      <c r="B81" s="22" t="s">
        <v>170</v>
      </c>
      <c r="C81" s="22">
        <f>COUNTBLANK(Schedule!$CA$5:$CA$15)</f>
        <v>11</v>
      </c>
      <c r="D81" s="22">
        <f t="shared" si="2"/>
        <v>0</v>
      </c>
      <c r="E81" s="22">
        <f>COUNTIF(Schedule!$CA$5:$CA$15,"*VAC*")</f>
        <v>0</v>
      </c>
      <c r="F81" s="22">
        <f>COUNTIF(Schedule!$CA$5:$CA$15,"*HOL*")</f>
        <v>0</v>
      </c>
      <c r="G81" s="22">
        <f>COUNTIF(Schedule!$CA$5:$CA$15,"*SICK*")</f>
        <v>0</v>
      </c>
      <c r="H81" s="22">
        <f>COUNTIF(Schedule!$CA$5:$CA$15,"*TRN*")</f>
        <v>0</v>
      </c>
      <c r="I81" s="22">
        <v>11</v>
      </c>
    </row>
    <row r="82" spans="1:9" ht="15" customHeight="1" x14ac:dyDescent="0.25">
      <c r="A82" s="21">
        <v>46265</v>
      </c>
      <c r="B82" s="22" t="s">
        <v>166</v>
      </c>
      <c r="C82" s="22">
        <f>COUNTBLANK(Schedule!$CB$5:$CB$15)</f>
        <v>10</v>
      </c>
      <c r="D82" s="22">
        <f t="shared" si="2"/>
        <v>0</v>
      </c>
      <c r="E82" s="22">
        <f>COUNTIF(Schedule!$CB$5:$CB$15,"*VAC*")</f>
        <v>1</v>
      </c>
      <c r="F82" s="22">
        <f>COUNTIF(Schedule!$CB$5:$CB$15,"*HOL*")</f>
        <v>0</v>
      </c>
      <c r="G82" s="22">
        <f>COUNTIF(Schedule!$CB$5:$CB$15,"*SICK*")</f>
        <v>0</v>
      </c>
      <c r="H82" s="22">
        <f>COUNTIF(Schedule!$CB$5:$CB$15,"*TRN*")</f>
        <v>0</v>
      </c>
      <c r="I82" s="22">
        <v>11</v>
      </c>
    </row>
    <row r="83" spans="1:9" ht="15" customHeight="1" x14ac:dyDescent="0.25">
      <c r="A83" s="21">
        <v>46266</v>
      </c>
      <c r="B83" s="22" t="s">
        <v>167</v>
      </c>
      <c r="C83" s="22">
        <f>COUNTBLANK(Schedule!$CC$5:$CC$15)</f>
        <v>10</v>
      </c>
      <c r="D83" s="22">
        <f t="shared" si="2"/>
        <v>0</v>
      </c>
      <c r="E83" s="22">
        <f>COUNTIF(Schedule!$CC$5:$CC$15,"*VAC*")</f>
        <v>1</v>
      </c>
      <c r="F83" s="22">
        <f>COUNTIF(Schedule!$CC$5:$CC$15,"*HOL*")</f>
        <v>0</v>
      </c>
      <c r="G83" s="22">
        <f>COUNTIF(Schedule!$CC$5:$CC$15,"*SICK*")</f>
        <v>0</v>
      </c>
      <c r="H83" s="22">
        <f>COUNTIF(Schedule!$CC$5:$CC$15,"*TRN*")</f>
        <v>0</v>
      </c>
      <c r="I83" s="22">
        <v>11</v>
      </c>
    </row>
    <row r="84" spans="1:9" ht="15" customHeight="1" x14ac:dyDescent="0.25">
      <c r="A84" s="21">
        <v>46267</v>
      </c>
      <c r="B84" s="22" t="s">
        <v>168</v>
      </c>
      <c r="C84" s="22">
        <f>COUNTBLANK(Schedule!$CD$5:$CD$15)</f>
        <v>10</v>
      </c>
      <c r="D84" s="22">
        <f t="shared" si="2"/>
        <v>0</v>
      </c>
      <c r="E84" s="22">
        <f>COUNTIF(Schedule!$CD$5:$CD$15,"*VAC*")</f>
        <v>1</v>
      </c>
      <c r="F84" s="22">
        <f>COUNTIF(Schedule!$CD$5:$CD$15,"*HOL*")</f>
        <v>0</v>
      </c>
      <c r="G84" s="22">
        <f>COUNTIF(Schedule!$CD$5:$CD$15,"*SICK*")</f>
        <v>0</v>
      </c>
      <c r="H84" s="22">
        <f>COUNTIF(Schedule!$CD$5:$CD$15,"*TRN*")</f>
        <v>0</v>
      </c>
      <c r="I84" s="22">
        <v>11</v>
      </c>
    </row>
    <row r="85" spans="1:9" ht="15" customHeight="1" x14ac:dyDescent="0.25">
      <c r="A85" s="21">
        <v>46268</v>
      </c>
      <c r="B85" s="22" t="s">
        <v>167</v>
      </c>
      <c r="C85" s="22">
        <f>COUNTBLANK(Schedule!$CE$5:$CE$15)</f>
        <v>10</v>
      </c>
      <c r="D85" s="22">
        <f t="shared" si="2"/>
        <v>0</v>
      </c>
      <c r="E85" s="22">
        <f>COUNTIF(Schedule!$CE$5:$CE$15,"*VAC*")</f>
        <v>1</v>
      </c>
      <c r="F85" s="22">
        <f>COUNTIF(Schedule!$CE$5:$CE$15,"*HOL*")</f>
        <v>0</v>
      </c>
      <c r="G85" s="22">
        <f>COUNTIF(Schedule!$CE$5:$CE$15,"*SICK*")</f>
        <v>0</v>
      </c>
      <c r="H85" s="22">
        <f>COUNTIF(Schedule!$CE$5:$CE$15,"*TRN*")</f>
        <v>0</v>
      </c>
      <c r="I85" s="22">
        <v>11</v>
      </c>
    </row>
    <row r="86" spans="1:9" ht="15" customHeight="1" x14ac:dyDescent="0.25">
      <c r="A86" s="21">
        <v>46269</v>
      </c>
      <c r="B86" s="22" t="s">
        <v>169</v>
      </c>
      <c r="C86" s="22">
        <f>COUNTBLANK(Schedule!$CF$5:$CF$15)</f>
        <v>10</v>
      </c>
      <c r="D86" s="22">
        <f t="shared" si="2"/>
        <v>0</v>
      </c>
      <c r="E86" s="22">
        <f>COUNTIF(Schedule!$CF$5:$CF$15,"*VAC*")</f>
        <v>1</v>
      </c>
      <c r="F86" s="22">
        <f>COUNTIF(Schedule!$CF$5:$CF$15,"*HOL*")</f>
        <v>0</v>
      </c>
      <c r="G86" s="22">
        <f>COUNTIF(Schedule!$CF$5:$CF$15,"*SICK*")</f>
        <v>0</v>
      </c>
      <c r="H86" s="22">
        <f>COUNTIF(Schedule!$CF$5:$CF$15,"*TRN*")</f>
        <v>0</v>
      </c>
      <c r="I86" s="22">
        <v>11</v>
      </c>
    </row>
    <row r="87" spans="1:9" ht="15" customHeight="1" x14ac:dyDescent="0.25">
      <c r="A87" s="21">
        <v>46270</v>
      </c>
      <c r="B87" s="22" t="s">
        <v>170</v>
      </c>
      <c r="C87" s="22">
        <f>COUNTBLANK(Schedule!$CG$5:$CG$15)</f>
        <v>11</v>
      </c>
      <c r="D87" s="22">
        <f t="shared" si="2"/>
        <v>0</v>
      </c>
      <c r="E87" s="22">
        <f>COUNTIF(Schedule!$CG$5:$CG$15,"*VAC*")</f>
        <v>0</v>
      </c>
      <c r="F87" s="22">
        <f>COUNTIF(Schedule!$CG$5:$CG$15,"*HOL*")</f>
        <v>0</v>
      </c>
      <c r="G87" s="22">
        <f>COUNTIF(Schedule!$CG$5:$CG$15,"*SICK*")</f>
        <v>0</v>
      </c>
      <c r="H87" s="22">
        <f>COUNTIF(Schedule!$CG$5:$CG$15,"*TRN*")</f>
        <v>0</v>
      </c>
      <c r="I87" s="22">
        <v>11</v>
      </c>
    </row>
    <row r="88" spans="1:9" ht="15" customHeight="1" x14ac:dyDescent="0.25">
      <c r="A88" s="21">
        <v>46271</v>
      </c>
      <c r="B88" s="22" t="s">
        <v>170</v>
      </c>
      <c r="C88" s="22">
        <f>COUNTBLANK(Schedule!$CH$5:$CH$15)</f>
        <v>11</v>
      </c>
      <c r="D88" s="22">
        <f t="shared" si="2"/>
        <v>0</v>
      </c>
      <c r="E88" s="22">
        <f>COUNTIF(Schedule!$CH$5:$CH$15,"*VAC*")</f>
        <v>0</v>
      </c>
      <c r="F88" s="22">
        <f>COUNTIF(Schedule!$CH$5:$CH$15,"*HOL*")</f>
        <v>0</v>
      </c>
      <c r="G88" s="22">
        <f>COUNTIF(Schedule!$CH$5:$CH$15,"*SICK*")</f>
        <v>0</v>
      </c>
      <c r="H88" s="22">
        <f>COUNTIF(Schedule!$CH$5:$CH$15,"*TRN*")</f>
        <v>0</v>
      </c>
      <c r="I88" s="22">
        <v>11</v>
      </c>
    </row>
    <row r="89" spans="1:9" ht="15" customHeight="1" x14ac:dyDescent="0.25">
      <c r="A89" s="21">
        <v>46272</v>
      </c>
      <c r="B89" s="22" t="s">
        <v>166</v>
      </c>
      <c r="C89" s="22">
        <f>COUNTBLANK(Schedule!$CI$5:$CI$15)</f>
        <v>0</v>
      </c>
      <c r="D89" s="22">
        <f t="shared" si="2"/>
        <v>0</v>
      </c>
      <c r="E89" s="22">
        <f>COUNTIF(Schedule!$CI$5:$CI$15,"*VAC*")</f>
        <v>0</v>
      </c>
      <c r="F89" s="22">
        <f>COUNTIF(Schedule!$CI$5:$CI$15,"*HOL*")</f>
        <v>11</v>
      </c>
      <c r="G89" s="22">
        <f>COUNTIF(Schedule!$CI$5:$CI$15,"*SICK*")</f>
        <v>0</v>
      </c>
      <c r="H89" s="22">
        <f>COUNTIF(Schedule!$CI$5:$CI$15,"*TRN*")</f>
        <v>0</v>
      </c>
      <c r="I89" s="22">
        <v>11</v>
      </c>
    </row>
    <row r="90" spans="1:9" ht="15" customHeight="1" x14ac:dyDescent="0.25">
      <c r="A90" s="21">
        <v>46273</v>
      </c>
      <c r="B90" s="22" t="s">
        <v>167</v>
      </c>
      <c r="C90" s="22">
        <f>COUNTBLANK(Schedule!$CJ$5:$CJ$15)</f>
        <v>11</v>
      </c>
      <c r="D90" s="22">
        <f t="shared" si="2"/>
        <v>0</v>
      </c>
      <c r="E90" s="22">
        <f>COUNTIF(Schedule!$CJ$5:$CJ$15,"*VAC*")</f>
        <v>0</v>
      </c>
      <c r="F90" s="22">
        <f>COUNTIF(Schedule!$CJ$5:$CJ$15,"*HOL*")</f>
        <v>0</v>
      </c>
      <c r="G90" s="22">
        <f>COUNTIF(Schedule!$CJ$5:$CJ$15,"*SICK*")</f>
        <v>0</v>
      </c>
      <c r="H90" s="22">
        <f>COUNTIF(Schedule!$CJ$5:$CJ$15,"*TRN*")</f>
        <v>0</v>
      </c>
      <c r="I90" s="22">
        <v>11</v>
      </c>
    </row>
    <row r="91" spans="1:9" ht="15" customHeight="1" x14ac:dyDescent="0.25">
      <c r="A91" s="21">
        <v>46274</v>
      </c>
      <c r="B91" s="22" t="s">
        <v>168</v>
      </c>
      <c r="C91" s="22">
        <f>COUNTBLANK(Schedule!$CK$5:$CK$15)</f>
        <v>11</v>
      </c>
      <c r="D91" s="22">
        <f t="shared" si="2"/>
        <v>0</v>
      </c>
      <c r="E91" s="22">
        <f>COUNTIF(Schedule!$CK$5:$CK$15,"*VAC*")</f>
        <v>0</v>
      </c>
      <c r="F91" s="22">
        <f>COUNTIF(Schedule!$CK$5:$CK$15,"*HOL*")</f>
        <v>0</v>
      </c>
      <c r="G91" s="22">
        <f>COUNTIF(Schedule!$CK$5:$CK$15,"*SICK*")</f>
        <v>0</v>
      </c>
      <c r="H91" s="22">
        <f>COUNTIF(Schedule!$CK$5:$CK$15,"*TRN*")</f>
        <v>0</v>
      </c>
      <c r="I91" s="22">
        <v>11</v>
      </c>
    </row>
    <row r="92" spans="1:9" ht="15" customHeight="1" x14ac:dyDescent="0.25">
      <c r="A92" s="21">
        <v>46275</v>
      </c>
      <c r="B92" s="22" t="s">
        <v>167</v>
      </c>
      <c r="C92" s="22">
        <f>COUNTBLANK(Schedule!$CL$5:$CL$15)</f>
        <v>11</v>
      </c>
      <c r="D92" s="22">
        <f t="shared" si="2"/>
        <v>0</v>
      </c>
      <c r="E92" s="22">
        <f>COUNTIF(Schedule!$CL$5:$CL$15,"*VAC*")</f>
        <v>0</v>
      </c>
      <c r="F92" s="22">
        <f>COUNTIF(Schedule!$CL$5:$CL$15,"*HOL*")</f>
        <v>0</v>
      </c>
      <c r="G92" s="22">
        <f>COUNTIF(Schedule!$CL$5:$CL$15,"*SICK*")</f>
        <v>0</v>
      </c>
      <c r="H92" s="22">
        <f>COUNTIF(Schedule!$CL$5:$CL$15,"*TRN*")</f>
        <v>0</v>
      </c>
      <c r="I92" s="22">
        <v>11</v>
      </c>
    </row>
    <row r="93" spans="1:9" ht="15" customHeight="1" x14ac:dyDescent="0.25">
      <c r="A93" s="21">
        <v>46276</v>
      </c>
      <c r="B93" s="22" t="s">
        <v>169</v>
      </c>
      <c r="C93" s="22">
        <f>COUNTBLANK(Schedule!$CM$5:$CM$15)</f>
        <v>11</v>
      </c>
      <c r="D93" s="22">
        <f t="shared" si="2"/>
        <v>0</v>
      </c>
      <c r="E93" s="22">
        <f>COUNTIF(Schedule!$CM$5:$CM$15,"*VAC*")</f>
        <v>0</v>
      </c>
      <c r="F93" s="22">
        <f>COUNTIF(Schedule!$CM$5:$CM$15,"*HOL*")</f>
        <v>0</v>
      </c>
      <c r="G93" s="22">
        <f>COUNTIF(Schedule!$CM$5:$CM$15,"*SICK*")</f>
        <v>0</v>
      </c>
      <c r="H93" s="22">
        <f>COUNTIF(Schedule!$CM$5:$CM$15,"*TRN*")</f>
        <v>0</v>
      </c>
      <c r="I93" s="22">
        <v>11</v>
      </c>
    </row>
    <row r="94" spans="1:9" ht="15" customHeight="1" x14ac:dyDescent="0.25">
      <c r="A94" s="21">
        <v>46277</v>
      </c>
      <c r="B94" s="22" t="s">
        <v>170</v>
      </c>
      <c r="C94" s="22">
        <f>COUNTBLANK(Schedule!$CN$5:$CN$15)</f>
        <v>11</v>
      </c>
      <c r="D94" s="22">
        <f t="shared" si="2"/>
        <v>0</v>
      </c>
      <c r="E94" s="22">
        <f>COUNTIF(Schedule!$CN$5:$CN$15,"*VAC*")</f>
        <v>0</v>
      </c>
      <c r="F94" s="22">
        <f>COUNTIF(Schedule!$CN$5:$CN$15,"*HOL*")</f>
        <v>0</v>
      </c>
      <c r="G94" s="22">
        <f>COUNTIF(Schedule!$CN$5:$CN$15,"*SICK*")</f>
        <v>0</v>
      </c>
      <c r="H94" s="22">
        <f>COUNTIF(Schedule!$CN$5:$CN$15,"*TRN*")</f>
        <v>0</v>
      </c>
      <c r="I94" s="22">
        <v>11</v>
      </c>
    </row>
    <row r="95" spans="1:9" ht="15" customHeight="1" x14ac:dyDescent="0.25">
      <c r="A95" s="21">
        <v>46278</v>
      </c>
      <c r="B95" s="22" t="s">
        <v>170</v>
      </c>
      <c r="C95" s="22">
        <f>COUNTBLANK(Schedule!$CO$5:$CO$15)</f>
        <v>11</v>
      </c>
      <c r="D95" s="22">
        <f t="shared" si="2"/>
        <v>0</v>
      </c>
      <c r="E95" s="22">
        <f>COUNTIF(Schedule!$CO$5:$CO$15,"*VAC*")</f>
        <v>0</v>
      </c>
      <c r="F95" s="22">
        <f>COUNTIF(Schedule!$CO$5:$CO$15,"*HOL*")</f>
        <v>0</v>
      </c>
      <c r="G95" s="22">
        <f>COUNTIF(Schedule!$CO$5:$CO$15,"*SICK*")</f>
        <v>0</v>
      </c>
      <c r="H95" s="22">
        <f>COUNTIF(Schedule!$CO$5:$CO$15,"*TRN*")</f>
        <v>0</v>
      </c>
      <c r="I95" s="22">
        <v>11</v>
      </c>
    </row>
    <row r="96" spans="1:9" ht="15" customHeight="1" x14ac:dyDescent="0.25">
      <c r="A96" s="21">
        <v>46279</v>
      </c>
      <c r="B96" s="22" t="s">
        <v>166</v>
      </c>
      <c r="C96" s="22">
        <f>COUNTBLANK(Schedule!$CP$5:$CP$15)</f>
        <v>11</v>
      </c>
      <c r="D96" s="22">
        <f t="shared" si="2"/>
        <v>0</v>
      </c>
      <c r="E96" s="22">
        <f>COUNTIF(Schedule!$CP$5:$CP$15,"*VAC*")</f>
        <v>0</v>
      </c>
      <c r="F96" s="22">
        <f>COUNTIF(Schedule!$CP$5:$CP$15,"*HOL*")</f>
        <v>0</v>
      </c>
      <c r="G96" s="22">
        <f>COUNTIF(Schedule!$CP$5:$CP$15,"*SICK*")</f>
        <v>0</v>
      </c>
      <c r="H96" s="22">
        <f>COUNTIF(Schedule!$CP$5:$CP$15,"*TRN*")</f>
        <v>0</v>
      </c>
      <c r="I96" s="22">
        <v>11</v>
      </c>
    </row>
    <row r="97" spans="1:9" ht="15" customHeight="1" x14ac:dyDescent="0.25">
      <c r="A97" s="21">
        <v>46280</v>
      </c>
      <c r="B97" s="22" t="s">
        <v>167</v>
      </c>
      <c r="C97" s="22">
        <f>COUNTBLANK(Schedule!$CQ$5:$CQ$15)</f>
        <v>11</v>
      </c>
      <c r="D97" s="22">
        <f t="shared" si="2"/>
        <v>0</v>
      </c>
      <c r="E97" s="22">
        <f>COUNTIF(Schedule!$CQ$5:$CQ$15,"*VAC*")</f>
        <v>0</v>
      </c>
      <c r="F97" s="22">
        <f>COUNTIF(Schedule!$CQ$5:$CQ$15,"*HOL*")</f>
        <v>0</v>
      </c>
      <c r="G97" s="22">
        <f>COUNTIF(Schedule!$CQ$5:$CQ$15,"*SICK*")</f>
        <v>0</v>
      </c>
      <c r="H97" s="22">
        <f>COUNTIF(Schedule!$CQ$5:$CQ$15,"*TRN*")</f>
        <v>0</v>
      </c>
      <c r="I97" s="22">
        <v>11</v>
      </c>
    </row>
    <row r="98" spans="1:9" ht="15" customHeight="1" x14ac:dyDescent="0.25">
      <c r="A98" s="21">
        <v>46281</v>
      </c>
      <c r="B98" s="22" t="s">
        <v>168</v>
      </c>
      <c r="C98" s="22">
        <f>COUNTBLANK(Schedule!$CR$5:$CR$15)</f>
        <v>11</v>
      </c>
      <c r="D98" s="22">
        <f t="shared" si="2"/>
        <v>0</v>
      </c>
      <c r="E98" s="22">
        <f>COUNTIF(Schedule!$CR$5:$CR$15,"*VAC*")</f>
        <v>0</v>
      </c>
      <c r="F98" s="22">
        <f>COUNTIF(Schedule!$CR$5:$CR$15,"*HOL*")</f>
        <v>0</v>
      </c>
      <c r="G98" s="22">
        <f>COUNTIF(Schedule!$CR$5:$CR$15,"*SICK*")</f>
        <v>0</v>
      </c>
      <c r="H98" s="22">
        <f>COUNTIF(Schedule!$CR$5:$CR$15,"*TRN*")</f>
        <v>0</v>
      </c>
      <c r="I98" s="22">
        <v>11</v>
      </c>
    </row>
    <row r="99" spans="1:9" ht="15" customHeight="1" x14ac:dyDescent="0.25">
      <c r="A99" s="21">
        <v>46282</v>
      </c>
      <c r="B99" s="22" t="s">
        <v>167</v>
      </c>
      <c r="C99" s="22">
        <f>COUNTBLANK(Schedule!$CS$5:$CS$15)</f>
        <v>11</v>
      </c>
      <c r="D99" s="22">
        <f t="shared" si="2"/>
        <v>0</v>
      </c>
      <c r="E99" s="22">
        <f>COUNTIF(Schedule!$CS$5:$CS$15,"*VAC*")</f>
        <v>0</v>
      </c>
      <c r="F99" s="22">
        <f>COUNTIF(Schedule!$CS$5:$CS$15,"*HOL*")</f>
        <v>0</v>
      </c>
      <c r="G99" s="22">
        <f>COUNTIF(Schedule!$CS$5:$CS$15,"*SICK*")</f>
        <v>0</v>
      </c>
      <c r="H99" s="22">
        <f>COUNTIF(Schedule!$CS$5:$CS$15,"*TRN*")</f>
        <v>0</v>
      </c>
      <c r="I99" s="22">
        <v>11</v>
      </c>
    </row>
    <row r="100" spans="1:9" ht="15" customHeight="1" x14ac:dyDescent="0.25">
      <c r="A100" s="21">
        <v>46283</v>
      </c>
      <c r="B100" s="22" t="s">
        <v>169</v>
      </c>
      <c r="C100" s="22">
        <f>COUNTBLANK(Schedule!$CT$5:$CT$15)</f>
        <v>11</v>
      </c>
      <c r="D100" s="22">
        <f t="shared" si="2"/>
        <v>0</v>
      </c>
      <c r="E100" s="22">
        <f>COUNTIF(Schedule!$CT$5:$CT$15,"*VAC*")</f>
        <v>0</v>
      </c>
      <c r="F100" s="22">
        <f>COUNTIF(Schedule!$CT$5:$CT$15,"*HOL*")</f>
        <v>0</v>
      </c>
      <c r="G100" s="22">
        <f>COUNTIF(Schedule!$CT$5:$CT$15,"*SICK*")</f>
        <v>0</v>
      </c>
      <c r="H100" s="22">
        <f>COUNTIF(Schedule!$CT$5:$CT$15,"*TRN*")</f>
        <v>0</v>
      </c>
      <c r="I100" s="22">
        <v>11</v>
      </c>
    </row>
    <row r="101" spans="1:9" ht="15" customHeight="1" x14ac:dyDescent="0.25">
      <c r="A101" s="21">
        <v>46284</v>
      </c>
      <c r="B101" s="22" t="s">
        <v>170</v>
      </c>
      <c r="C101" s="22">
        <f>COUNTBLANK(Schedule!$CU$5:$CU$15)</f>
        <v>11</v>
      </c>
      <c r="D101" s="22">
        <f t="shared" ref="D101:D132" si="3">I101-C101-E101-F101-G101-H101</f>
        <v>0</v>
      </c>
      <c r="E101" s="22">
        <f>COUNTIF(Schedule!$CU$5:$CU$15,"*VAC*")</f>
        <v>0</v>
      </c>
      <c r="F101" s="22">
        <f>COUNTIF(Schedule!$CU$5:$CU$15,"*HOL*")</f>
        <v>0</v>
      </c>
      <c r="G101" s="22">
        <f>COUNTIF(Schedule!$CU$5:$CU$15,"*SICK*")</f>
        <v>0</v>
      </c>
      <c r="H101" s="22">
        <f>COUNTIF(Schedule!$CU$5:$CU$15,"*TRN*")</f>
        <v>0</v>
      </c>
      <c r="I101" s="22">
        <v>11</v>
      </c>
    </row>
    <row r="102" spans="1:9" ht="15" customHeight="1" x14ac:dyDescent="0.25">
      <c r="A102" s="21">
        <v>46285</v>
      </c>
      <c r="B102" s="22" t="s">
        <v>170</v>
      </c>
      <c r="C102" s="22">
        <f>COUNTBLANK(Schedule!$CV$5:$CV$15)</f>
        <v>11</v>
      </c>
      <c r="D102" s="22">
        <f t="shared" si="3"/>
        <v>0</v>
      </c>
      <c r="E102" s="22">
        <f>COUNTIF(Schedule!$CV$5:$CV$15,"*VAC*")</f>
        <v>0</v>
      </c>
      <c r="F102" s="22">
        <f>COUNTIF(Schedule!$CV$5:$CV$15,"*HOL*")</f>
        <v>0</v>
      </c>
      <c r="G102" s="22">
        <f>COUNTIF(Schedule!$CV$5:$CV$15,"*SICK*")</f>
        <v>0</v>
      </c>
      <c r="H102" s="22">
        <f>COUNTIF(Schedule!$CV$5:$CV$15,"*TRN*")</f>
        <v>0</v>
      </c>
      <c r="I102" s="22">
        <v>11</v>
      </c>
    </row>
    <row r="103" spans="1:9" ht="15" customHeight="1" x14ac:dyDescent="0.25">
      <c r="A103" s="21">
        <v>46286</v>
      </c>
      <c r="B103" s="22" t="s">
        <v>166</v>
      </c>
      <c r="C103" s="22">
        <f>COUNTBLANK(Schedule!$CW$5:$CW$15)</f>
        <v>11</v>
      </c>
      <c r="D103" s="22">
        <f t="shared" si="3"/>
        <v>0</v>
      </c>
      <c r="E103" s="22">
        <f>COUNTIF(Schedule!$CW$5:$CW$15,"*VAC*")</f>
        <v>0</v>
      </c>
      <c r="F103" s="22">
        <f>COUNTIF(Schedule!$CW$5:$CW$15,"*HOL*")</f>
        <v>0</v>
      </c>
      <c r="G103" s="22">
        <f>COUNTIF(Schedule!$CW$5:$CW$15,"*SICK*")</f>
        <v>0</v>
      </c>
      <c r="H103" s="22">
        <f>COUNTIF(Schedule!$CW$5:$CW$15,"*TRN*")</f>
        <v>0</v>
      </c>
      <c r="I103" s="22">
        <v>11</v>
      </c>
    </row>
    <row r="104" spans="1:9" ht="15" customHeight="1" x14ac:dyDescent="0.25">
      <c r="A104" s="21">
        <v>46287</v>
      </c>
      <c r="B104" s="22" t="s">
        <v>167</v>
      </c>
      <c r="C104" s="22">
        <f>COUNTBLANK(Schedule!$CX$5:$CX$15)</f>
        <v>11</v>
      </c>
      <c r="D104" s="22">
        <f t="shared" si="3"/>
        <v>0</v>
      </c>
      <c r="E104" s="22">
        <f>COUNTIF(Schedule!$CX$5:$CX$15,"*VAC*")</f>
        <v>0</v>
      </c>
      <c r="F104" s="22">
        <f>COUNTIF(Schedule!$CX$5:$CX$15,"*HOL*")</f>
        <v>0</v>
      </c>
      <c r="G104" s="22">
        <f>COUNTIF(Schedule!$CX$5:$CX$15,"*SICK*")</f>
        <v>0</v>
      </c>
      <c r="H104" s="22">
        <f>COUNTIF(Schedule!$CX$5:$CX$15,"*TRN*")</f>
        <v>0</v>
      </c>
      <c r="I104" s="22">
        <v>11</v>
      </c>
    </row>
    <row r="105" spans="1:9" ht="15" customHeight="1" x14ac:dyDescent="0.25">
      <c r="A105" s="21">
        <v>46288</v>
      </c>
      <c r="B105" s="22" t="s">
        <v>168</v>
      </c>
      <c r="C105" s="22">
        <f>COUNTBLANK(Schedule!$CY$5:$CY$15)</f>
        <v>11</v>
      </c>
      <c r="D105" s="22">
        <f t="shared" si="3"/>
        <v>0</v>
      </c>
      <c r="E105" s="22">
        <f>COUNTIF(Schedule!$CY$5:$CY$15,"*VAC*")</f>
        <v>0</v>
      </c>
      <c r="F105" s="22">
        <f>COUNTIF(Schedule!$CY$5:$CY$15,"*HOL*")</f>
        <v>0</v>
      </c>
      <c r="G105" s="22">
        <f>COUNTIF(Schedule!$CY$5:$CY$15,"*SICK*")</f>
        <v>0</v>
      </c>
      <c r="H105" s="22">
        <f>COUNTIF(Schedule!$CY$5:$CY$15,"*TRN*")</f>
        <v>0</v>
      </c>
      <c r="I105" s="22">
        <v>11</v>
      </c>
    </row>
    <row r="106" spans="1:9" ht="15" customHeight="1" x14ac:dyDescent="0.25">
      <c r="A106" s="21">
        <v>46289</v>
      </c>
      <c r="B106" s="22" t="s">
        <v>167</v>
      </c>
      <c r="C106" s="22">
        <f>COUNTBLANK(Schedule!$CZ$5:$CZ$15)</f>
        <v>11</v>
      </c>
      <c r="D106" s="22">
        <f t="shared" si="3"/>
        <v>0</v>
      </c>
      <c r="E106" s="22">
        <f>COUNTIF(Schedule!$CZ$5:$CZ$15,"*VAC*")</f>
        <v>0</v>
      </c>
      <c r="F106" s="22">
        <f>COUNTIF(Schedule!$CZ$5:$CZ$15,"*HOL*")</f>
        <v>0</v>
      </c>
      <c r="G106" s="22">
        <f>COUNTIF(Schedule!$CZ$5:$CZ$15,"*SICK*")</f>
        <v>0</v>
      </c>
      <c r="H106" s="22">
        <f>COUNTIF(Schedule!$CZ$5:$CZ$15,"*TRN*")</f>
        <v>0</v>
      </c>
      <c r="I106" s="22">
        <v>11</v>
      </c>
    </row>
    <row r="107" spans="1:9" ht="15" customHeight="1" x14ac:dyDescent="0.25">
      <c r="A107" s="21">
        <v>46290</v>
      </c>
      <c r="B107" s="22" t="s">
        <v>169</v>
      </c>
      <c r="C107" s="22">
        <f>COUNTBLANK(Schedule!$DA$5:$DA$15)</f>
        <v>11</v>
      </c>
      <c r="D107" s="22">
        <f t="shared" si="3"/>
        <v>0</v>
      </c>
      <c r="E107" s="22">
        <f>COUNTIF(Schedule!$DA$5:$DA$15,"*VAC*")</f>
        <v>0</v>
      </c>
      <c r="F107" s="22">
        <f>COUNTIF(Schedule!$DA$5:$DA$15,"*HOL*")</f>
        <v>0</v>
      </c>
      <c r="G107" s="22">
        <f>COUNTIF(Schedule!$DA$5:$DA$15,"*SICK*")</f>
        <v>0</v>
      </c>
      <c r="H107" s="22">
        <f>COUNTIF(Schedule!$DA$5:$DA$15,"*TRN*")</f>
        <v>0</v>
      </c>
      <c r="I107" s="22">
        <v>11</v>
      </c>
    </row>
    <row r="108" spans="1:9" ht="15" customHeight="1" x14ac:dyDescent="0.25">
      <c r="A108" s="21">
        <v>46291</v>
      </c>
      <c r="B108" s="22" t="s">
        <v>170</v>
      </c>
      <c r="C108" s="22">
        <f>COUNTBLANK(Schedule!$DB$5:$DB$15)</f>
        <v>11</v>
      </c>
      <c r="D108" s="22">
        <f t="shared" si="3"/>
        <v>0</v>
      </c>
      <c r="E108" s="22">
        <f>COUNTIF(Schedule!$DB$5:$DB$15,"*VAC*")</f>
        <v>0</v>
      </c>
      <c r="F108" s="22">
        <f>COUNTIF(Schedule!$DB$5:$DB$15,"*HOL*")</f>
        <v>0</v>
      </c>
      <c r="G108" s="22">
        <f>COUNTIF(Schedule!$DB$5:$DB$15,"*SICK*")</f>
        <v>0</v>
      </c>
      <c r="H108" s="22">
        <f>COUNTIF(Schedule!$DB$5:$DB$15,"*TRN*")</f>
        <v>0</v>
      </c>
      <c r="I108" s="22">
        <v>11</v>
      </c>
    </row>
    <row r="109" spans="1:9" ht="15" customHeight="1" x14ac:dyDescent="0.25">
      <c r="A109" s="21">
        <v>46292</v>
      </c>
      <c r="B109" s="22" t="s">
        <v>170</v>
      </c>
      <c r="C109" s="22">
        <f>COUNTBLANK(Schedule!$DC$5:$DC$15)</f>
        <v>11</v>
      </c>
      <c r="D109" s="22">
        <f t="shared" si="3"/>
        <v>0</v>
      </c>
      <c r="E109" s="22">
        <f>COUNTIF(Schedule!$DC$5:$DC$15,"*VAC*")</f>
        <v>0</v>
      </c>
      <c r="F109" s="22">
        <f>COUNTIF(Schedule!$DC$5:$DC$15,"*HOL*")</f>
        <v>0</v>
      </c>
      <c r="G109" s="22">
        <f>COUNTIF(Schedule!$DC$5:$DC$15,"*SICK*")</f>
        <v>0</v>
      </c>
      <c r="H109" s="22">
        <f>COUNTIF(Schedule!$DC$5:$DC$15,"*TRN*")</f>
        <v>0</v>
      </c>
      <c r="I109" s="22">
        <v>11</v>
      </c>
    </row>
    <row r="110" spans="1:9" ht="15" customHeight="1" x14ac:dyDescent="0.25">
      <c r="A110" s="21">
        <v>46293</v>
      </c>
      <c r="B110" s="22" t="s">
        <v>166</v>
      </c>
      <c r="C110" s="22">
        <f>COUNTBLANK(Schedule!$DD$5:$DD$15)</f>
        <v>11</v>
      </c>
      <c r="D110" s="22">
        <f t="shared" si="3"/>
        <v>0</v>
      </c>
      <c r="E110" s="22">
        <f>COUNTIF(Schedule!$DD$5:$DD$15,"*VAC*")</f>
        <v>0</v>
      </c>
      <c r="F110" s="22">
        <f>COUNTIF(Schedule!$DD$5:$DD$15,"*HOL*")</f>
        <v>0</v>
      </c>
      <c r="G110" s="22">
        <f>COUNTIF(Schedule!$DD$5:$DD$15,"*SICK*")</f>
        <v>0</v>
      </c>
      <c r="H110" s="22">
        <f>COUNTIF(Schedule!$DD$5:$DD$15,"*TRN*")</f>
        <v>0</v>
      </c>
      <c r="I110" s="22">
        <v>11</v>
      </c>
    </row>
    <row r="111" spans="1:9" ht="15" customHeight="1" x14ac:dyDescent="0.25">
      <c r="A111" s="21">
        <v>46294</v>
      </c>
      <c r="B111" s="22" t="s">
        <v>167</v>
      </c>
      <c r="C111" s="22">
        <f>COUNTBLANK(Schedule!$DE$5:$DE$15)</f>
        <v>11</v>
      </c>
      <c r="D111" s="22">
        <f t="shared" si="3"/>
        <v>0</v>
      </c>
      <c r="E111" s="22">
        <f>COUNTIF(Schedule!$DE$5:$DE$15,"*VAC*")</f>
        <v>0</v>
      </c>
      <c r="F111" s="22">
        <f>COUNTIF(Schedule!$DE$5:$DE$15,"*HOL*")</f>
        <v>0</v>
      </c>
      <c r="G111" s="22">
        <f>COUNTIF(Schedule!$DE$5:$DE$15,"*SICK*")</f>
        <v>0</v>
      </c>
      <c r="H111" s="22">
        <f>COUNTIF(Schedule!$DE$5:$DE$15,"*TRN*")</f>
        <v>0</v>
      </c>
      <c r="I111" s="22">
        <v>11</v>
      </c>
    </row>
    <row r="112" spans="1:9" ht="15" customHeight="1" x14ac:dyDescent="0.25">
      <c r="A112" s="21">
        <v>46295</v>
      </c>
      <c r="B112" s="22" t="s">
        <v>168</v>
      </c>
      <c r="C112" s="22">
        <f>COUNTBLANK(Schedule!$DF$5:$DF$15)</f>
        <v>11</v>
      </c>
      <c r="D112" s="22">
        <f t="shared" si="3"/>
        <v>0</v>
      </c>
      <c r="E112" s="22">
        <f>COUNTIF(Schedule!$DF$5:$DF$15,"*VAC*")</f>
        <v>0</v>
      </c>
      <c r="F112" s="22">
        <f>COUNTIF(Schedule!$DF$5:$DF$15,"*HOL*")</f>
        <v>0</v>
      </c>
      <c r="G112" s="22">
        <f>COUNTIF(Schedule!$DF$5:$DF$15,"*SICK*")</f>
        <v>0</v>
      </c>
      <c r="H112" s="22">
        <f>COUNTIF(Schedule!$DF$5:$DF$15,"*TRN*")</f>
        <v>0</v>
      </c>
      <c r="I112" s="22">
        <v>11</v>
      </c>
    </row>
    <row r="113" spans="1:9" ht="15" customHeight="1" x14ac:dyDescent="0.25">
      <c r="A113" s="21">
        <v>46296</v>
      </c>
      <c r="B113" s="22" t="s">
        <v>167</v>
      </c>
      <c r="C113" s="22">
        <f>COUNTBLANK(Schedule!$DG$5:$DG$15)</f>
        <v>11</v>
      </c>
      <c r="D113" s="22">
        <f t="shared" si="3"/>
        <v>0</v>
      </c>
      <c r="E113" s="22">
        <f>COUNTIF(Schedule!$DG$5:$DG$15,"*VAC*")</f>
        <v>0</v>
      </c>
      <c r="F113" s="22">
        <f>COUNTIF(Schedule!$DG$5:$DG$15,"*HOL*")</f>
        <v>0</v>
      </c>
      <c r="G113" s="22">
        <f>COUNTIF(Schedule!$DG$5:$DG$15,"*SICK*")</f>
        <v>0</v>
      </c>
      <c r="H113" s="22">
        <f>COUNTIF(Schedule!$DG$5:$DG$15,"*TRN*")</f>
        <v>0</v>
      </c>
      <c r="I113" s="22">
        <v>11</v>
      </c>
    </row>
    <row r="114" spans="1:9" ht="15" customHeight="1" x14ac:dyDescent="0.25">
      <c r="A114" s="21">
        <v>46297</v>
      </c>
      <c r="B114" s="22" t="s">
        <v>169</v>
      </c>
      <c r="C114" s="22">
        <f>COUNTBLANK(Schedule!$DH$5:$DH$15)</f>
        <v>11</v>
      </c>
      <c r="D114" s="22">
        <f t="shared" si="3"/>
        <v>0</v>
      </c>
      <c r="E114" s="22">
        <f>COUNTIF(Schedule!$DH$5:$DH$15,"*VAC*")</f>
        <v>0</v>
      </c>
      <c r="F114" s="22">
        <f>COUNTIF(Schedule!$DH$5:$DH$15,"*HOL*")</f>
        <v>0</v>
      </c>
      <c r="G114" s="22">
        <f>COUNTIF(Schedule!$DH$5:$DH$15,"*SICK*")</f>
        <v>0</v>
      </c>
      <c r="H114" s="22">
        <f>COUNTIF(Schedule!$DH$5:$DH$15,"*TRN*")</f>
        <v>0</v>
      </c>
      <c r="I114" s="22">
        <v>11</v>
      </c>
    </row>
    <row r="115" spans="1:9" ht="15" customHeight="1" x14ac:dyDescent="0.25">
      <c r="A115" s="21">
        <v>46298</v>
      </c>
      <c r="B115" s="22" t="s">
        <v>170</v>
      </c>
      <c r="C115" s="22">
        <f>COUNTBLANK(Schedule!$DI$5:$DI$15)</f>
        <v>11</v>
      </c>
      <c r="D115" s="22">
        <f t="shared" si="3"/>
        <v>0</v>
      </c>
      <c r="E115" s="22">
        <f>COUNTIF(Schedule!$DI$5:$DI$15,"*VAC*")</f>
        <v>0</v>
      </c>
      <c r="F115" s="22">
        <f>COUNTIF(Schedule!$DI$5:$DI$15,"*HOL*")</f>
        <v>0</v>
      </c>
      <c r="G115" s="22">
        <f>COUNTIF(Schedule!$DI$5:$DI$15,"*SICK*")</f>
        <v>0</v>
      </c>
      <c r="H115" s="22">
        <f>COUNTIF(Schedule!$DI$5:$DI$15,"*TRN*")</f>
        <v>0</v>
      </c>
      <c r="I115" s="22">
        <v>11</v>
      </c>
    </row>
    <row r="116" spans="1:9" ht="15" customHeight="1" x14ac:dyDescent="0.25">
      <c r="A116" s="21">
        <v>46299</v>
      </c>
      <c r="B116" s="22" t="s">
        <v>170</v>
      </c>
      <c r="C116" s="22">
        <f>COUNTBLANK(Schedule!$DJ$5:$DJ$15)</f>
        <v>11</v>
      </c>
      <c r="D116" s="22">
        <f t="shared" si="3"/>
        <v>0</v>
      </c>
      <c r="E116" s="22">
        <f>COUNTIF(Schedule!$DJ$5:$DJ$15,"*VAC*")</f>
        <v>0</v>
      </c>
      <c r="F116" s="22">
        <f>COUNTIF(Schedule!$DJ$5:$DJ$15,"*HOL*")</f>
        <v>0</v>
      </c>
      <c r="G116" s="22">
        <f>COUNTIF(Schedule!$DJ$5:$DJ$15,"*SICK*")</f>
        <v>0</v>
      </c>
      <c r="H116" s="22">
        <f>COUNTIF(Schedule!$DJ$5:$DJ$15,"*TRN*")</f>
        <v>0</v>
      </c>
      <c r="I116" s="22">
        <v>11</v>
      </c>
    </row>
    <row r="117" spans="1:9" ht="15" customHeight="1" x14ac:dyDescent="0.25">
      <c r="A117" s="21">
        <v>46300</v>
      </c>
      <c r="B117" s="22" t="s">
        <v>166</v>
      </c>
      <c r="C117" s="22">
        <f>COUNTBLANK(Schedule!$DK$5:$DK$15)</f>
        <v>11</v>
      </c>
      <c r="D117" s="22">
        <f t="shared" si="3"/>
        <v>0</v>
      </c>
      <c r="E117" s="22">
        <f>COUNTIF(Schedule!$DK$5:$DK$15,"*VAC*")</f>
        <v>0</v>
      </c>
      <c r="F117" s="22">
        <f>COUNTIF(Schedule!$DK$5:$DK$15,"*HOL*")</f>
        <v>0</v>
      </c>
      <c r="G117" s="22">
        <f>COUNTIF(Schedule!$DK$5:$DK$15,"*SICK*")</f>
        <v>0</v>
      </c>
      <c r="H117" s="22">
        <f>COUNTIF(Schedule!$DK$5:$DK$15,"*TRN*")</f>
        <v>0</v>
      </c>
      <c r="I117" s="22">
        <v>11</v>
      </c>
    </row>
    <row r="118" spans="1:9" ht="15" customHeight="1" x14ac:dyDescent="0.25">
      <c r="A118" s="21">
        <v>46301</v>
      </c>
      <c r="B118" s="22" t="s">
        <v>167</v>
      </c>
      <c r="C118" s="22">
        <f>COUNTBLANK(Schedule!$DL$5:$DL$15)</f>
        <v>11</v>
      </c>
      <c r="D118" s="22">
        <f t="shared" si="3"/>
        <v>0</v>
      </c>
      <c r="E118" s="22">
        <f>COUNTIF(Schedule!$DL$5:$DL$15,"*VAC*")</f>
        <v>0</v>
      </c>
      <c r="F118" s="22">
        <f>COUNTIF(Schedule!$DL$5:$DL$15,"*HOL*")</f>
        <v>0</v>
      </c>
      <c r="G118" s="22">
        <f>COUNTIF(Schedule!$DL$5:$DL$15,"*SICK*")</f>
        <v>0</v>
      </c>
      <c r="H118" s="22">
        <f>COUNTIF(Schedule!$DL$5:$DL$15,"*TRN*")</f>
        <v>0</v>
      </c>
      <c r="I118" s="22">
        <v>11</v>
      </c>
    </row>
    <row r="119" spans="1:9" ht="15" customHeight="1" x14ac:dyDescent="0.25">
      <c r="A119" s="21">
        <v>46302</v>
      </c>
      <c r="B119" s="22" t="s">
        <v>168</v>
      </c>
      <c r="C119" s="22">
        <f>COUNTBLANK(Schedule!$DM$5:$DM$15)</f>
        <v>11</v>
      </c>
      <c r="D119" s="22">
        <f t="shared" si="3"/>
        <v>0</v>
      </c>
      <c r="E119" s="22">
        <f>COUNTIF(Schedule!$DM$5:$DM$15,"*VAC*")</f>
        <v>0</v>
      </c>
      <c r="F119" s="22">
        <f>COUNTIF(Schedule!$DM$5:$DM$15,"*HOL*")</f>
        <v>0</v>
      </c>
      <c r="G119" s="22">
        <f>COUNTIF(Schedule!$DM$5:$DM$15,"*SICK*")</f>
        <v>0</v>
      </c>
      <c r="H119" s="22">
        <f>COUNTIF(Schedule!$DM$5:$DM$15,"*TRN*")</f>
        <v>0</v>
      </c>
      <c r="I119" s="22">
        <v>11</v>
      </c>
    </row>
    <row r="120" spans="1:9" ht="15" customHeight="1" x14ac:dyDescent="0.25">
      <c r="A120" s="21">
        <v>46303</v>
      </c>
      <c r="B120" s="22" t="s">
        <v>167</v>
      </c>
      <c r="C120" s="22">
        <f>COUNTBLANK(Schedule!$DN$5:$DN$15)</f>
        <v>11</v>
      </c>
      <c r="D120" s="22">
        <f t="shared" si="3"/>
        <v>0</v>
      </c>
      <c r="E120" s="22">
        <f>COUNTIF(Schedule!$DN$5:$DN$15,"*VAC*")</f>
        <v>0</v>
      </c>
      <c r="F120" s="22">
        <f>COUNTIF(Schedule!$DN$5:$DN$15,"*HOL*")</f>
        <v>0</v>
      </c>
      <c r="G120" s="22">
        <f>COUNTIF(Schedule!$DN$5:$DN$15,"*SICK*")</f>
        <v>0</v>
      </c>
      <c r="H120" s="22">
        <f>COUNTIF(Schedule!$DN$5:$DN$15,"*TRN*")</f>
        <v>0</v>
      </c>
      <c r="I120" s="22">
        <v>11</v>
      </c>
    </row>
    <row r="121" spans="1:9" ht="15" customHeight="1" x14ac:dyDescent="0.25">
      <c r="A121" s="21">
        <v>46304</v>
      </c>
      <c r="B121" s="22" t="s">
        <v>169</v>
      </c>
      <c r="C121" s="22">
        <f>COUNTBLANK(Schedule!$DO$5:$DO$15)</f>
        <v>11</v>
      </c>
      <c r="D121" s="22">
        <f t="shared" si="3"/>
        <v>0</v>
      </c>
      <c r="E121" s="22">
        <f>COUNTIF(Schedule!$DO$5:$DO$15,"*VAC*")</f>
        <v>0</v>
      </c>
      <c r="F121" s="22">
        <f>COUNTIF(Schedule!$DO$5:$DO$15,"*HOL*")</f>
        <v>0</v>
      </c>
      <c r="G121" s="22">
        <f>COUNTIF(Schedule!$DO$5:$DO$15,"*SICK*")</f>
        <v>0</v>
      </c>
      <c r="H121" s="22">
        <f>COUNTIF(Schedule!$DO$5:$DO$15,"*TRN*")</f>
        <v>0</v>
      </c>
      <c r="I121" s="22">
        <v>11</v>
      </c>
    </row>
    <row r="122" spans="1:9" ht="15" customHeight="1" x14ac:dyDescent="0.25">
      <c r="A122" s="21">
        <v>46305</v>
      </c>
      <c r="B122" s="22" t="s">
        <v>170</v>
      </c>
      <c r="C122" s="22">
        <f>COUNTBLANK(Schedule!$DP$5:$DP$15)</f>
        <v>11</v>
      </c>
      <c r="D122" s="22">
        <f t="shared" si="3"/>
        <v>0</v>
      </c>
      <c r="E122" s="22">
        <f>COUNTIF(Schedule!$DP$5:$DP$15,"*VAC*")</f>
        <v>0</v>
      </c>
      <c r="F122" s="22">
        <f>COUNTIF(Schedule!$DP$5:$DP$15,"*HOL*")</f>
        <v>0</v>
      </c>
      <c r="G122" s="22">
        <f>COUNTIF(Schedule!$DP$5:$DP$15,"*SICK*")</f>
        <v>0</v>
      </c>
      <c r="H122" s="22">
        <f>COUNTIF(Schedule!$DP$5:$DP$15,"*TRN*")</f>
        <v>0</v>
      </c>
      <c r="I122" s="22">
        <v>11</v>
      </c>
    </row>
    <row r="123" spans="1:9" ht="15" customHeight="1" x14ac:dyDescent="0.25">
      <c r="A123" s="21">
        <v>46306</v>
      </c>
      <c r="B123" s="22" t="s">
        <v>170</v>
      </c>
      <c r="C123" s="22">
        <f>COUNTBLANK(Schedule!$DQ$5:$DQ$15)</f>
        <v>11</v>
      </c>
      <c r="D123" s="22">
        <f t="shared" si="3"/>
        <v>0</v>
      </c>
      <c r="E123" s="22">
        <f>COUNTIF(Schedule!$DQ$5:$DQ$15,"*VAC*")</f>
        <v>0</v>
      </c>
      <c r="F123" s="22">
        <f>COUNTIF(Schedule!$DQ$5:$DQ$15,"*HOL*")</f>
        <v>0</v>
      </c>
      <c r="G123" s="22">
        <f>COUNTIF(Schedule!$DQ$5:$DQ$15,"*SICK*")</f>
        <v>0</v>
      </c>
      <c r="H123" s="22">
        <f>COUNTIF(Schedule!$DQ$5:$DQ$15,"*TRN*")</f>
        <v>0</v>
      </c>
      <c r="I123" s="22">
        <v>11</v>
      </c>
    </row>
    <row r="124" spans="1:9" ht="15" customHeight="1" x14ac:dyDescent="0.25">
      <c r="A124" s="21">
        <v>46307</v>
      </c>
      <c r="B124" s="22" t="s">
        <v>166</v>
      </c>
      <c r="C124" s="22">
        <f>COUNTBLANK(Schedule!$DR$5:$DR$15)</f>
        <v>11</v>
      </c>
      <c r="D124" s="22">
        <f t="shared" si="3"/>
        <v>0</v>
      </c>
      <c r="E124" s="22">
        <f>COUNTIF(Schedule!$DR$5:$DR$15,"*VAC*")</f>
        <v>0</v>
      </c>
      <c r="F124" s="22">
        <f>COUNTIF(Schedule!$DR$5:$DR$15,"*HOL*")</f>
        <v>0</v>
      </c>
      <c r="G124" s="22">
        <f>COUNTIF(Schedule!$DR$5:$DR$15,"*SICK*")</f>
        <v>0</v>
      </c>
      <c r="H124" s="22">
        <f>COUNTIF(Schedule!$DR$5:$DR$15,"*TRN*")</f>
        <v>0</v>
      </c>
      <c r="I124" s="22">
        <v>11</v>
      </c>
    </row>
    <row r="125" spans="1:9" ht="15" customHeight="1" x14ac:dyDescent="0.25">
      <c r="A125" s="21">
        <v>46308</v>
      </c>
      <c r="B125" s="22" t="s">
        <v>167</v>
      </c>
      <c r="C125" s="22">
        <f>COUNTBLANK(Schedule!$DS$5:$DS$15)</f>
        <v>11</v>
      </c>
      <c r="D125" s="22">
        <f t="shared" si="3"/>
        <v>0</v>
      </c>
      <c r="E125" s="22">
        <f>COUNTIF(Schedule!$DS$5:$DS$15,"*VAC*")</f>
        <v>0</v>
      </c>
      <c r="F125" s="22">
        <f>COUNTIF(Schedule!$DS$5:$DS$15,"*HOL*")</f>
        <v>0</v>
      </c>
      <c r="G125" s="22">
        <f>COUNTIF(Schedule!$DS$5:$DS$15,"*SICK*")</f>
        <v>0</v>
      </c>
      <c r="H125" s="22">
        <f>COUNTIF(Schedule!$DS$5:$DS$15,"*TRN*")</f>
        <v>0</v>
      </c>
      <c r="I125" s="22">
        <v>11</v>
      </c>
    </row>
    <row r="126" spans="1:9" ht="15" customHeight="1" x14ac:dyDescent="0.25">
      <c r="A126" s="21">
        <v>46309</v>
      </c>
      <c r="B126" s="22" t="s">
        <v>168</v>
      </c>
      <c r="C126" s="22">
        <f>COUNTBLANK(Schedule!$DT$5:$DT$15)</f>
        <v>11</v>
      </c>
      <c r="D126" s="22">
        <f t="shared" si="3"/>
        <v>0</v>
      </c>
      <c r="E126" s="22">
        <f>COUNTIF(Schedule!$DT$5:$DT$15,"*VAC*")</f>
        <v>0</v>
      </c>
      <c r="F126" s="22">
        <f>COUNTIF(Schedule!$DT$5:$DT$15,"*HOL*")</f>
        <v>0</v>
      </c>
      <c r="G126" s="22">
        <f>COUNTIF(Schedule!$DT$5:$DT$15,"*SICK*")</f>
        <v>0</v>
      </c>
      <c r="H126" s="22">
        <f>COUNTIF(Schedule!$DT$5:$DT$15,"*TRN*")</f>
        <v>0</v>
      </c>
      <c r="I126" s="22">
        <v>11</v>
      </c>
    </row>
    <row r="127" spans="1:9" ht="15" customHeight="1" x14ac:dyDescent="0.25">
      <c r="A127" s="21">
        <v>46310</v>
      </c>
      <c r="B127" s="22" t="s">
        <v>167</v>
      </c>
      <c r="C127" s="22">
        <f>COUNTBLANK(Schedule!$DU$5:$DU$15)</f>
        <v>11</v>
      </c>
      <c r="D127" s="22">
        <f t="shared" si="3"/>
        <v>0</v>
      </c>
      <c r="E127" s="22">
        <f>COUNTIF(Schedule!$DU$5:$DU$15,"*VAC*")</f>
        <v>0</v>
      </c>
      <c r="F127" s="22">
        <f>COUNTIF(Schedule!$DU$5:$DU$15,"*HOL*")</f>
        <v>0</v>
      </c>
      <c r="G127" s="22">
        <f>COUNTIF(Schedule!$DU$5:$DU$15,"*SICK*")</f>
        <v>0</v>
      </c>
      <c r="H127" s="22">
        <f>COUNTIF(Schedule!$DU$5:$DU$15,"*TRN*")</f>
        <v>0</v>
      </c>
      <c r="I127" s="22">
        <v>11</v>
      </c>
    </row>
    <row r="128" spans="1:9" ht="15" customHeight="1" x14ac:dyDescent="0.25">
      <c r="A128" s="21">
        <v>46311</v>
      </c>
      <c r="B128" s="22" t="s">
        <v>169</v>
      </c>
      <c r="C128" s="22">
        <f>COUNTBLANK(Schedule!$DV$5:$DV$15)</f>
        <v>11</v>
      </c>
      <c r="D128" s="22">
        <f t="shared" si="3"/>
        <v>0</v>
      </c>
      <c r="E128" s="22">
        <f>COUNTIF(Schedule!$DV$5:$DV$15,"*VAC*")</f>
        <v>0</v>
      </c>
      <c r="F128" s="22">
        <f>COUNTIF(Schedule!$DV$5:$DV$15,"*HOL*")</f>
        <v>0</v>
      </c>
      <c r="G128" s="22">
        <f>COUNTIF(Schedule!$DV$5:$DV$15,"*SICK*")</f>
        <v>0</v>
      </c>
      <c r="H128" s="22">
        <f>COUNTIF(Schedule!$DV$5:$DV$15,"*TRN*")</f>
        <v>0</v>
      </c>
      <c r="I128" s="22">
        <v>11</v>
      </c>
    </row>
    <row r="129" spans="1:9" ht="15" customHeight="1" x14ac:dyDescent="0.25">
      <c r="A129" s="21">
        <v>46312</v>
      </c>
      <c r="B129" s="22" t="s">
        <v>170</v>
      </c>
      <c r="C129" s="22">
        <f>COUNTBLANK(Schedule!$DW$5:$DW$15)</f>
        <v>11</v>
      </c>
      <c r="D129" s="22">
        <f t="shared" si="3"/>
        <v>0</v>
      </c>
      <c r="E129" s="22">
        <f>COUNTIF(Schedule!$DW$5:$DW$15,"*VAC*")</f>
        <v>0</v>
      </c>
      <c r="F129" s="22">
        <f>COUNTIF(Schedule!$DW$5:$DW$15,"*HOL*")</f>
        <v>0</v>
      </c>
      <c r="G129" s="22">
        <f>COUNTIF(Schedule!$DW$5:$DW$15,"*SICK*")</f>
        <v>0</v>
      </c>
      <c r="H129" s="22">
        <f>COUNTIF(Schedule!$DW$5:$DW$15,"*TRN*")</f>
        <v>0</v>
      </c>
      <c r="I129" s="22">
        <v>11</v>
      </c>
    </row>
    <row r="130" spans="1:9" ht="15" customHeight="1" x14ac:dyDescent="0.25">
      <c r="A130" s="21">
        <v>46313</v>
      </c>
      <c r="B130" s="22" t="s">
        <v>170</v>
      </c>
      <c r="C130" s="22">
        <f>COUNTBLANK(Schedule!$DX$5:$DX$15)</f>
        <v>11</v>
      </c>
      <c r="D130" s="22">
        <f t="shared" si="3"/>
        <v>0</v>
      </c>
      <c r="E130" s="22">
        <f>COUNTIF(Schedule!$DX$5:$DX$15,"*VAC*")</f>
        <v>0</v>
      </c>
      <c r="F130" s="22">
        <f>COUNTIF(Schedule!$DX$5:$DX$15,"*HOL*")</f>
        <v>0</v>
      </c>
      <c r="G130" s="22">
        <f>COUNTIF(Schedule!$DX$5:$DX$15,"*SICK*")</f>
        <v>0</v>
      </c>
      <c r="H130" s="22">
        <f>COUNTIF(Schedule!$DX$5:$DX$15,"*TRN*")</f>
        <v>0</v>
      </c>
      <c r="I130" s="22">
        <v>11</v>
      </c>
    </row>
    <row r="131" spans="1:9" ht="15" customHeight="1" x14ac:dyDescent="0.25">
      <c r="A131" s="21">
        <v>46314</v>
      </c>
      <c r="B131" s="22" t="s">
        <v>166</v>
      </c>
      <c r="C131" s="22">
        <f>COUNTBLANK(Schedule!$DY$5:$DY$15)</f>
        <v>11</v>
      </c>
      <c r="D131" s="22">
        <f t="shared" si="3"/>
        <v>0</v>
      </c>
      <c r="E131" s="22">
        <f>COUNTIF(Schedule!$DY$5:$DY$15,"*VAC*")</f>
        <v>0</v>
      </c>
      <c r="F131" s="22">
        <f>COUNTIF(Schedule!$DY$5:$DY$15,"*HOL*")</f>
        <v>0</v>
      </c>
      <c r="G131" s="22">
        <f>COUNTIF(Schedule!$DY$5:$DY$15,"*SICK*")</f>
        <v>0</v>
      </c>
      <c r="H131" s="22">
        <f>COUNTIF(Schedule!$DY$5:$DY$15,"*TRN*")</f>
        <v>0</v>
      </c>
      <c r="I131" s="22">
        <v>11</v>
      </c>
    </row>
    <row r="132" spans="1:9" ht="15" customHeight="1" x14ac:dyDescent="0.25">
      <c r="A132" s="21">
        <v>46315</v>
      </c>
      <c r="B132" s="22" t="s">
        <v>167</v>
      </c>
      <c r="C132" s="22">
        <f>COUNTBLANK(Schedule!$DZ$5:$DZ$15)</f>
        <v>11</v>
      </c>
      <c r="D132" s="22">
        <f t="shared" si="3"/>
        <v>0</v>
      </c>
      <c r="E132" s="22">
        <f>COUNTIF(Schedule!$DZ$5:$DZ$15,"*VAC*")</f>
        <v>0</v>
      </c>
      <c r="F132" s="22">
        <f>COUNTIF(Schedule!$DZ$5:$DZ$15,"*HOL*")</f>
        <v>0</v>
      </c>
      <c r="G132" s="22">
        <f>COUNTIF(Schedule!$DZ$5:$DZ$15,"*SICK*")</f>
        <v>0</v>
      </c>
      <c r="H132" s="22">
        <f>COUNTIF(Schedule!$DZ$5:$DZ$15,"*TRN*")</f>
        <v>0</v>
      </c>
      <c r="I132" s="22">
        <v>11</v>
      </c>
    </row>
    <row r="133" spans="1:9" ht="15" customHeight="1" x14ac:dyDescent="0.25">
      <c r="A133" s="21">
        <v>46316</v>
      </c>
      <c r="B133" s="22" t="s">
        <v>168</v>
      </c>
      <c r="C133" s="22">
        <f>COUNTBLANK(Schedule!$EA$5:$EA$15)</f>
        <v>11</v>
      </c>
      <c r="D133" s="22">
        <f t="shared" ref="D133:D164" si="4">I133-C133-E133-F133-G133-H133</f>
        <v>0</v>
      </c>
      <c r="E133" s="22">
        <f>COUNTIF(Schedule!$EA$5:$EA$15,"*VAC*")</f>
        <v>0</v>
      </c>
      <c r="F133" s="22">
        <f>COUNTIF(Schedule!$EA$5:$EA$15,"*HOL*")</f>
        <v>0</v>
      </c>
      <c r="G133" s="22">
        <f>COUNTIF(Schedule!$EA$5:$EA$15,"*SICK*")</f>
        <v>0</v>
      </c>
      <c r="H133" s="22">
        <f>COUNTIF(Schedule!$EA$5:$EA$15,"*TRN*")</f>
        <v>0</v>
      </c>
      <c r="I133" s="22">
        <v>11</v>
      </c>
    </row>
    <row r="134" spans="1:9" ht="15" customHeight="1" x14ac:dyDescent="0.25">
      <c r="A134" s="21">
        <v>46317</v>
      </c>
      <c r="B134" s="22" t="s">
        <v>167</v>
      </c>
      <c r="C134" s="22">
        <f>COUNTBLANK(Schedule!$EB$5:$EB$15)</f>
        <v>11</v>
      </c>
      <c r="D134" s="22">
        <f t="shared" si="4"/>
        <v>0</v>
      </c>
      <c r="E134" s="22">
        <f>COUNTIF(Schedule!$EB$5:$EB$15,"*VAC*")</f>
        <v>0</v>
      </c>
      <c r="F134" s="22">
        <f>COUNTIF(Schedule!$EB$5:$EB$15,"*HOL*")</f>
        <v>0</v>
      </c>
      <c r="G134" s="22">
        <f>COUNTIF(Schedule!$EB$5:$EB$15,"*SICK*")</f>
        <v>0</v>
      </c>
      <c r="H134" s="22">
        <f>COUNTIF(Schedule!$EB$5:$EB$15,"*TRN*")</f>
        <v>0</v>
      </c>
      <c r="I134" s="22">
        <v>11</v>
      </c>
    </row>
    <row r="135" spans="1:9" ht="15" customHeight="1" x14ac:dyDescent="0.25">
      <c r="A135" s="21">
        <v>46318</v>
      </c>
      <c r="B135" s="22" t="s">
        <v>169</v>
      </c>
      <c r="C135" s="22">
        <f>COUNTBLANK(Schedule!$EC$5:$EC$15)</f>
        <v>11</v>
      </c>
      <c r="D135" s="22">
        <f t="shared" si="4"/>
        <v>0</v>
      </c>
      <c r="E135" s="22">
        <f>COUNTIF(Schedule!$EC$5:$EC$15,"*VAC*")</f>
        <v>0</v>
      </c>
      <c r="F135" s="22">
        <f>COUNTIF(Schedule!$EC$5:$EC$15,"*HOL*")</f>
        <v>0</v>
      </c>
      <c r="G135" s="22">
        <f>COUNTIF(Schedule!$EC$5:$EC$15,"*SICK*")</f>
        <v>0</v>
      </c>
      <c r="H135" s="22">
        <f>COUNTIF(Schedule!$EC$5:$EC$15,"*TRN*")</f>
        <v>0</v>
      </c>
      <c r="I135" s="22">
        <v>11</v>
      </c>
    </row>
    <row r="136" spans="1:9" ht="15" customHeight="1" x14ac:dyDescent="0.25">
      <c r="A136" s="21">
        <v>46319</v>
      </c>
      <c r="B136" s="22" t="s">
        <v>170</v>
      </c>
      <c r="C136" s="22">
        <f>COUNTBLANK(Schedule!$ED$5:$ED$15)</f>
        <v>11</v>
      </c>
      <c r="D136" s="22">
        <f t="shared" si="4"/>
        <v>0</v>
      </c>
      <c r="E136" s="22">
        <f>COUNTIF(Schedule!$ED$5:$ED$15,"*VAC*")</f>
        <v>0</v>
      </c>
      <c r="F136" s="22">
        <f>COUNTIF(Schedule!$ED$5:$ED$15,"*HOL*")</f>
        <v>0</v>
      </c>
      <c r="G136" s="22">
        <f>COUNTIF(Schedule!$ED$5:$ED$15,"*SICK*")</f>
        <v>0</v>
      </c>
      <c r="H136" s="22">
        <f>COUNTIF(Schedule!$ED$5:$ED$15,"*TRN*")</f>
        <v>0</v>
      </c>
      <c r="I136" s="22">
        <v>11</v>
      </c>
    </row>
    <row r="137" spans="1:9" ht="15" customHeight="1" x14ac:dyDescent="0.25">
      <c r="A137" s="21">
        <v>46320</v>
      </c>
      <c r="B137" s="22" t="s">
        <v>170</v>
      </c>
      <c r="C137" s="22">
        <f>COUNTBLANK(Schedule!$EE$5:$EE$15)</f>
        <v>11</v>
      </c>
      <c r="D137" s="22">
        <f t="shared" si="4"/>
        <v>0</v>
      </c>
      <c r="E137" s="22">
        <f>COUNTIF(Schedule!$EE$5:$EE$15,"*VAC*")</f>
        <v>0</v>
      </c>
      <c r="F137" s="22">
        <f>COUNTIF(Schedule!$EE$5:$EE$15,"*HOL*")</f>
        <v>0</v>
      </c>
      <c r="G137" s="22">
        <f>COUNTIF(Schedule!$EE$5:$EE$15,"*SICK*")</f>
        <v>0</v>
      </c>
      <c r="H137" s="22">
        <f>COUNTIF(Schedule!$EE$5:$EE$15,"*TRN*")</f>
        <v>0</v>
      </c>
      <c r="I137" s="22">
        <v>11</v>
      </c>
    </row>
    <row r="138" spans="1:9" ht="15" customHeight="1" x14ac:dyDescent="0.25">
      <c r="A138" s="21">
        <v>46321</v>
      </c>
      <c r="B138" s="22" t="s">
        <v>166</v>
      </c>
      <c r="C138" s="22">
        <f>COUNTBLANK(Schedule!$EF$5:$EF$15)</f>
        <v>11</v>
      </c>
      <c r="D138" s="22">
        <f t="shared" si="4"/>
        <v>0</v>
      </c>
      <c r="E138" s="22">
        <f>COUNTIF(Schedule!$EF$5:$EF$15,"*VAC*")</f>
        <v>0</v>
      </c>
      <c r="F138" s="22">
        <f>COUNTIF(Schedule!$EF$5:$EF$15,"*HOL*")</f>
        <v>0</v>
      </c>
      <c r="G138" s="22">
        <f>COUNTIF(Schedule!$EF$5:$EF$15,"*SICK*")</f>
        <v>0</v>
      </c>
      <c r="H138" s="22">
        <f>COUNTIF(Schedule!$EF$5:$EF$15,"*TRN*")</f>
        <v>0</v>
      </c>
      <c r="I138" s="22">
        <v>11</v>
      </c>
    </row>
    <row r="139" spans="1:9" ht="15" customHeight="1" x14ac:dyDescent="0.25">
      <c r="A139" s="21">
        <v>46322</v>
      </c>
      <c r="B139" s="22" t="s">
        <v>167</v>
      </c>
      <c r="C139" s="22">
        <f>COUNTBLANK(Schedule!$EG$5:$EG$15)</f>
        <v>11</v>
      </c>
      <c r="D139" s="22">
        <f t="shared" si="4"/>
        <v>0</v>
      </c>
      <c r="E139" s="22">
        <f>COUNTIF(Schedule!$EG$5:$EG$15,"*VAC*")</f>
        <v>0</v>
      </c>
      <c r="F139" s="22">
        <f>COUNTIF(Schedule!$EG$5:$EG$15,"*HOL*")</f>
        <v>0</v>
      </c>
      <c r="G139" s="22">
        <f>COUNTIF(Schedule!$EG$5:$EG$15,"*SICK*")</f>
        <v>0</v>
      </c>
      <c r="H139" s="22">
        <f>COUNTIF(Schedule!$EG$5:$EG$15,"*TRN*")</f>
        <v>0</v>
      </c>
      <c r="I139" s="22">
        <v>11</v>
      </c>
    </row>
    <row r="140" spans="1:9" ht="15" customHeight="1" x14ac:dyDescent="0.25">
      <c r="A140" s="21">
        <v>46323</v>
      </c>
      <c r="B140" s="22" t="s">
        <v>168</v>
      </c>
      <c r="C140" s="22">
        <f>COUNTBLANK(Schedule!$EH$5:$EH$15)</f>
        <v>11</v>
      </c>
      <c r="D140" s="22">
        <f t="shared" si="4"/>
        <v>0</v>
      </c>
      <c r="E140" s="22">
        <f>COUNTIF(Schedule!$EH$5:$EH$15,"*VAC*")</f>
        <v>0</v>
      </c>
      <c r="F140" s="22">
        <f>COUNTIF(Schedule!$EH$5:$EH$15,"*HOL*")</f>
        <v>0</v>
      </c>
      <c r="G140" s="22">
        <f>COUNTIF(Schedule!$EH$5:$EH$15,"*SICK*")</f>
        <v>0</v>
      </c>
      <c r="H140" s="22">
        <f>COUNTIF(Schedule!$EH$5:$EH$15,"*TRN*")</f>
        <v>0</v>
      </c>
      <c r="I140" s="22">
        <v>11</v>
      </c>
    </row>
    <row r="141" spans="1:9" ht="15" customHeight="1" x14ac:dyDescent="0.25">
      <c r="A141" s="21">
        <v>46324</v>
      </c>
      <c r="B141" s="22" t="s">
        <v>167</v>
      </c>
      <c r="C141" s="22">
        <f>COUNTBLANK(Schedule!$EI$5:$EI$15)</f>
        <v>11</v>
      </c>
      <c r="D141" s="22">
        <f t="shared" si="4"/>
        <v>0</v>
      </c>
      <c r="E141" s="22">
        <f>COUNTIF(Schedule!$EI$5:$EI$15,"*VAC*")</f>
        <v>0</v>
      </c>
      <c r="F141" s="22">
        <f>COUNTIF(Schedule!$EI$5:$EI$15,"*HOL*")</f>
        <v>0</v>
      </c>
      <c r="G141" s="22">
        <f>COUNTIF(Schedule!$EI$5:$EI$15,"*SICK*")</f>
        <v>0</v>
      </c>
      <c r="H141" s="22">
        <f>COUNTIF(Schedule!$EI$5:$EI$15,"*TRN*")</f>
        <v>0</v>
      </c>
      <c r="I141" s="22">
        <v>11</v>
      </c>
    </row>
    <row r="142" spans="1:9" ht="15" customHeight="1" x14ac:dyDescent="0.25">
      <c r="A142" s="21">
        <v>46325</v>
      </c>
      <c r="B142" s="22" t="s">
        <v>169</v>
      </c>
      <c r="C142" s="22">
        <f>COUNTBLANK(Schedule!$EJ$5:$EJ$15)</f>
        <v>11</v>
      </c>
      <c r="D142" s="22">
        <f t="shared" si="4"/>
        <v>0</v>
      </c>
      <c r="E142" s="22">
        <f>COUNTIF(Schedule!$EJ$5:$EJ$15,"*VAC*")</f>
        <v>0</v>
      </c>
      <c r="F142" s="22">
        <f>COUNTIF(Schedule!$EJ$5:$EJ$15,"*HOL*")</f>
        <v>0</v>
      </c>
      <c r="G142" s="22">
        <f>COUNTIF(Schedule!$EJ$5:$EJ$15,"*SICK*")</f>
        <v>0</v>
      </c>
      <c r="H142" s="22">
        <f>COUNTIF(Schedule!$EJ$5:$EJ$15,"*TRN*")</f>
        <v>0</v>
      </c>
      <c r="I142" s="22">
        <v>11</v>
      </c>
    </row>
    <row r="143" spans="1:9" ht="15" customHeight="1" x14ac:dyDescent="0.25">
      <c r="A143" s="21">
        <v>46326</v>
      </c>
      <c r="B143" s="22" t="s">
        <v>170</v>
      </c>
      <c r="C143" s="22">
        <f>COUNTBLANK(Schedule!$EK$5:$EK$15)</f>
        <v>11</v>
      </c>
      <c r="D143" s="22">
        <f t="shared" si="4"/>
        <v>0</v>
      </c>
      <c r="E143" s="22">
        <f>COUNTIF(Schedule!$EK$5:$EK$15,"*VAC*")</f>
        <v>0</v>
      </c>
      <c r="F143" s="22">
        <f>COUNTIF(Schedule!$EK$5:$EK$15,"*HOL*")</f>
        <v>0</v>
      </c>
      <c r="G143" s="22">
        <f>COUNTIF(Schedule!$EK$5:$EK$15,"*SICK*")</f>
        <v>0</v>
      </c>
      <c r="H143" s="22">
        <f>COUNTIF(Schedule!$EK$5:$EK$15,"*TRN*")</f>
        <v>0</v>
      </c>
      <c r="I143" s="22">
        <v>11</v>
      </c>
    </row>
    <row r="144" spans="1:9" ht="15" customHeight="1" x14ac:dyDescent="0.25">
      <c r="A144" s="21">
        <v>46327</v>
      </c>
      <c r="B144" s="22" t="s">
        <v>170</v>
      </c>
      <c r="C144" s="22">
        <f>COUNTBLANK(Schedule!$EL$5:$EL$15)</f>
        <v>11</v>
      </c>
      <c r="D144" s="22">
        <f t="shared" si="4"/>
        <v>0</v>
      </c>
      <c r="E144" s="22">
        <f>COUNTIF(Schedule!$EL$5:$EL$15,"*VAC*")</f>
        <v>0</v>
      </c>
      <c r="F144" s="22">
        <f>COUNTIF(Schedule!$EL$5:$EL$15,"*HOL*")</f>
        <v>0</v>
      </c>
      <c r="G144" s="22">
        <f>COUNTIF(Schedule!$EL$5:$EL$15,"*SICK*")</f>
        <v>0</v>
      </c>
      <c r="H144" s="22">
        <f>COUNTIF(Schedule!$EL$5:$EL$15,"*TRN*")</f>
        <v>0</v>
      </c>
      <c r="I144" s="22">
        <v>11</v>
      </c>
    </row>
    <row r="145" spans="1:9" ht="15" customHeight="1" x14ac:dyDescent="0.25">
      <c r="A145" s="21">
        <v>46328</v>
      </c>
      <c r="B145" s="22" t="s">
        <v>166</v>
      </c>
      <c r="C145" s="22">
        <f>COUNTBLANK(Schedule!$EM$5:$EM$15)</f>
        <v>11</v>
      </c>
      <c r="D145" s="22">
        <f t="shared" si="4"/>
        <v>0</v>
      </c>
      <c r="E145" s="22">
        <f>COUNTIF(Schedule!$EM$5:$EM$15,"*VAC*")</f>
        <v>0</v>
      </c>
      <c r="F145" s="22">
        <f>COUNTIF(Schedule!$EM$5:$EM$15,"*HOL*")</f>
        <v>0</v>
      </c>
      <c r="G145" s="22">
        <f>COUNTIF(Schedule!$EM$5:$EM$15,"*SICK*")</f>
        <v>0</v>
      </c>
      <c r="H145" s="22">
        <f>COUNTIF(Schedule!$EM$5:$EM$15,"*TRN*")</f>
        <v>0</v>
      </c>
      <c r="I145" s="22">
        <v>11</v>
      </c>
    </row>
    <row r="146" spans="1:9" ht="15" customHeight="1" x14ac:dyDescent="0.25">
      <c r="A146" s="21">
        <v>46329</v>
      </c>
      <c r="B146" s="22" t="s">
        <v>167</v>
      </c>
      <c r="C146" s="22">
        <f>COUNTBLANK(Schedule!$EN$5:$EN$15)</f>
        <v>11</v>
      </c>
      <c r="D146" s="22">
        <f t="shared" si="4"/>
        <v>0</v>
      </c>
      <c r="E146" s="22">
        <f>COUNTIF(Schedule!$EN$5:$EN$15,"*VAC*")</f>
        <v>0</v>
      </c>
      <c r="F146" s="22">
        <f>COUNTIF(Schedule!$EN$5:$EN$15,"*HOL*")</f>
        <v>0</v>
      </c>
      <c r="G146" s="22">
        <f>COUNTIF(Schedule!$EN$5:$EN$15,"*SICK*")</f>
        <v>0</v>
      </c>
      <c r="H146" s="22">
        <f>COUNTIF(Schedule!$EN$5:$EN$15,"*TRN*")</f>
        <v>0</v>
      </c>
      <c r="I146" s="22">
        <v>11</v>
      </c>
    </row>
    <row r="147" spans="1:9" ht="15" customHeight="1" x14ac:dyDescent="0.25">
      <c r="A147" s="21">
        <v>46330</v>
      </c>
      <c r="B147" s="22" t="s">
        <v>168</v>
      </c>
      <c r="C147" s="22">
        <f>COUNTBLANK(Schedule!$EO$5:$EO$15)</f>
        <v>11</v>
      </c>
      <c r="D147" s="22">
        <f t="shared" si="4"/>
        <v>0</v>
      </c>
      <c r="E147" s="22">
        <f>COUNTIF(Schedule!$EO$5:$EO$15,"*VAC*")</f>
        <v>0</v>
      </c>
      <c r="F147" s="22">
        <f>COUNTIF(Schedule!$EO$5:$EO$15,"*HOL*")</f>
        <v>0</v>
      </c>
      <c r="G147" s="22">
        <f>COUNTIF(Schedule!$EO$5:$EO$15,"*SICK*")</f>
        <v>0</v>
      </c>
      <c r="H147" s="22">
        <f>COUNTIF(Schedule!$EO$5:$EO$15,"*TRN*")</f>
        <v>0</v>
      </c>
      <c r="I147" s="22">
        <v>11</v>
      </c>
    </row>
    <row r="148" spans="1:9" ht="15" customHeight="1" x14ac:dyDescent="0.25">
      <c r="A148" s="21">
        <v>46331</v>
      </c>
      <c r="B148" s="22" t="s">
        <v>167</v>
      </c>
      <c r="C148" s="22">
        <f>COUNTBLANK(Schedule!$EP$5:$EP$15)</f>
        <v>11</v>
      </c>
      <c r="D148" s="22">
        <f t="shared" si="4"/>
        <v>0</v>
      </c>
      <c r="E148" s="22">
        <f>COUNTIF(Schedule!$EP$5:$EP$15,"*VAC*")</f>
        <v>0</v>
      </c>
      <c r="F148" s="22">
        <f>COUNTIF(Schedule!$EP$5:$EP$15,"*HOL*")</f>
        <v>0</v>
      </c>
      <c r="G148" s="22">
        <f>COUNTIF(Schedule!$EP$5:$EP$15,"*SICK*")</f>
        <v>0</v>
      </c>
      <c r="H148" s="22">
        <f>COUNTIF(Schedule!$EP$5:$EP$15,"*TRN*")</f>
        <v>0</v>
      </c>
      <c r="I148" s="22">
        <v>11</v>
      </c>
    </row>
    <row r="149" spans="1:9" ht="15" customHeight="1" x14ac:dyDescent="0.25">
      <c r="A149" s="21">
        <v>46332</v>
      </c>
      <c r="B149" s="22" t="s">
        <v>169</v>
      </c>
      <c r="C149" s="22">
        <f>COUNTBLANK(Schedule!$EQ$5:$EQ$15)</f>
        <v>11</v>
      </c>
      <c r="D149" s="22">
        <f t="shared" si="4"/>
        <v>0</v>
      </c>
      <c r="E149" s="22">
        <f>COUNTIF(Schedule!$EQ$5:$EQ$15,"*VAC*")</f>
        <v>0</v>
      </c>
      <c r="F149" s="22">
        <f>COUNTIF(Schedule!$EQ$5:$EQ$15,"*HOL*")</f>
        <v>0</v>
      </c>
      <c r="G149" s="22">
        <f>COUNTIF(Schedule!$EQ$5:$EQ$15,"*SICK*")</f>
        <v>0</v>
      </c>
      <c r="H149" s="22">
        <f>COUNTIF(Schedule!$EQ$5:$EQ$15,"*TRN*")</f>
        <v>0</v>
      </c>
      <c r="I149" s="22">
        <v>11</v>
      </c>
    </row>
    <row r="150" spans="1:9" ht="15" customHeight="1" x14ac:dyDescent="0.25">
      <c r="A150" s="21">
        <v>46333</v>
      </c>
      <c r="B150" s="22" t="s">
        <v>170</v>
      </c>
      <c r="C150" s="22">
        <f>COUNTBLANK(Schedule!$ER$5:$ER$15)</f>
        <v>11</v>
      </c>
      <c r="D150" s="22">
        <f t="shared" si="4"/>
        <v>0</v>
      </c>
      <c r="E150" s="22">
        <f>COUNTIF(Schedule!$ER$5:$ER$15,"*VAC*")</f>
        <v>0</v>
      </c>
      <c r="F150" s="22">
        <f>COUNTIF(Schedule!$ER$5:$ER$15,"*HOL*")</f>
        <v>0</v>
      </c>
      <c r="G150" s="22">
        <f>COUNTIF(Schedule!$ER$5:$ER$15,"*SICK*")</f>
        <v>0</v>
      </c>
      <c r="H150" s="22">
        <f>COUNTIF(Schedule!$ER$5:$ER$15,"*TRN*")</f>
        <v>0</v>
      </c>
      <c r="I150" s="22">
        <v>11</v>
      </c>
    </row>
    <row r="151" spans="1:9" ht="15" customHeight="1" x14ac:dyDescent="0.25">
      <c r="A151" s="21">
        <v>46334</v>
      </c>
      <c r="B151" s="22" t="s">
        <v>170</v>
      </c>
      <c r="C151" s="22">
        <f>COUNTBLANK(Schedule!$ES$5:$ES$15)</f>
        <v>11</v>
      </c>
      <c r="D151" s="22">
        <f t="shared" si="4"/>
        <v>0</v>
      </c>
      <c r="E151" s="22">
        <f>COUNTIF(Schedule!$ES$5:$ES$15,"*VAC*")</f>
        <v>0</v>
      </c>
      <c r="F151" s="22">
        <f>COUNTIF(Schedule!$ES$5:$ES$15,"*HOL*")</f>
        <v>0</v>
      </c>
      <c r="G151" s="22">
        <f>COUNTIF(Schedule!$ES$5:$ES$15,"*SICK*")</f>
        <v>0</v>
      </c>
      <c r="H151" s="22">
        <f>COUNTIF(Schedule!$ES$5:$ES$15,"*TRN*")</f>
        <v>0</v>
      </c>
      <c r="I151" s="22">
        <v>11</v>
      </c>
    </row>
    <row r="152" spans="1:9" ht="15" customHeight="1" x14ac:dyDescent="0.25">
      <c r="A152" s="21">
        <v>46335</v>
      </c>
      <c r="B152" s="22" t="s">
        <v>166</v>
      </c>
      <c r="C152" s="22">
        <f>COUNTBLANK(Schedule!$ET$5:$ET$15)</f>
        <v>11</v>
      </c>
      <c r="D152" s="22">
        <f t="shared" si="4"/>
        <v>0</v>
      </c>
      <c r="E152" s="22">
        <f>COUNTIF(Schedule!$ET$5:$ET$15,"*VAC*")</f>
        <v>0</v>
      </c>
      <c r="F152" s="22">
        <f>COUNTIF(Schedule!$ET$5:$ET$15,"*HOL*")</f>
        <v>0</v>
      </c>
      <c r="G152" s="22">
        <f>COUNTIF(Schedule!$ET$5:$ET$15,"*SICK*")</f>
        <v>0</v>
      </c>
      <c r="H152" s="22">
        <f>COUNTIF(Schedule!$ET$5:$ET$15,"*TRN*")</f>
        <v>0</v>
      </c>
      <c r="I152" s="22">
        <v>11</v>
      </c>
    </row>
    <row r="153" spans="1:9" ht="15" customHeight="1" x14ac:dyDescent="0.25">
      <c r="A153" s="21">
        <v>46336</v>
      </c>
      <c r="B153" s="22" t="s">
        <v>167</v>
      </c>
      <c r="C153" s="22">
        <f>COUNTBLANK(Schedule!$EU$5:$EU$15)</f>
        <v>11</v>
      </c>
      <c r="D153" s="22">
        <f t="shared" si="4"/>
        <v>0</v>
      </c>
      <c r="E153" s="22">
        <f>COUNTIF(Schedule!$EU$5:$EU$15,"*VAC*")</f>
        <v>0</v>
      </c>
      <c r="F153" s="22">
        <f>COUNTIF(Schedule!$EU$5:$EU$15,"*HOL*")</f>
        <v>0</v>
      </c>
      <c r="G153" s="22">
        <f>COUNTIF(Schedule!$EU$5:$EU$15,"*SICK*")</f>
        <v>0</v>
      </c>
      <c r="H153" s="22">
        <f>COUNTIF(Schedule!$EU$5:$EU$15,"*TRN*")</f>
        <v>0</v>
      </c>
      <c r="I153" s="22">
        <v>11</v>
      </c>
    </row>
    <row r="154" spans="1:9" ht="15" customHeight="1" x14ac:dyDescent="0.25">
      <c r="A154" s="21">
        <v>46337</v>
      </c>
      <c r="B154" s="22" t="s">
        <v>168</v>
      </c>
      <c r="C154" s="22">
        <f>COUNTBLANK(Schedule!$EV$5:$EV$15)</f>
        <v>11</v>
      </c>
      <c r="D154" s="22">
        <f t="shared" si="4"/>
        <v>0</v>
      </c>
      <c r="E154" s="22">
        <f>COUNTIF(Schedule!$EV$5:$EV$15,"*VAC*")</f>
        <v>0</v>
      </c>
      <c r="F154" s="22">
        <f>COUNTIF(Schedule!$EV$5:$EV$15,"*HOL*")</f>
        <v>0</v>
      </c>
      <c r="G154" s="22">
        <f>COUNTIF(Schedule!$EV$5:$EV$15,"*SICK*")</f>
        <v>0</v>
      </c>
      <c r="H154" s="22">
        <f>COUNTIF(Schedule!$EV$5:$EV$15,"*TRN*")</f>
        <v>0</v>
      </c>
      <c r="I154" s="22">
        <v>11</v>
      </c>
    </row>
    <row r="155" spans="1:9" ht="15" customHeight="1" x14ac:dyDescent="0.25">
      <c r="A155" s="21">
        <v>46338</v>
      </c>
      <c r="B155" s="22" t="s">
        <v>167</v>
      </c>
      <c r="C155" s="22">
        <f>COUNTBLANK(Schedule!$EW$5:$EW$15)</f>
        <v>11</v>
      </c>
      <c r="D155" s="22">
        <f t="shared" si="4"/>
        <v>0</v>
      </c>
      <c r="E155" s="22">
        <f>COUNTIF(Schedule!$EW$5:$EW$15,"*VAC*")</f>
        <v>0</v>
      </c>
      <c r="F155" s="22">
        <f>COUNTIF(Schedule!$EW$5:$EW$15,"*HOL*")</f>
        <v>0</v>
      </c>
      <c r="G155" s="22">
        <f>COUNTIF(Schedule!$EW$5:$EW$15,"*SICK*")</f>
        <v>0</v>
      </c>
      <c r="H155" s="22">
        <f>COUNTIF(Schedule!$EW$5:$EW$15,"*TRN*")</f>
        <v>0</v>
      </c>
      <c r="I155" s="22">
        <v>11</v>
      </c>
    </row>
    <row r="156" spans="1:9" ht="15" customHeight="1" x14ac:dyDescent="0.25">
      <c r="A156" s="21">
        <v>46339</v>
      </c>
      <c r="B156" s="22" t="s">
        <v>169</v>
      </c>
      <c r="C156" s="22">
        <f>COUNTBLANK(Schedule!$EX$5:$EX$15)</f>
        <v>11</v>
      </c>
      <c r="D156" s="22">
        <f t="shared" si="4"/>
        <v>0</v>
      </c>
      <c r="E156" s="22">
        <f>COUNTIF(Schedule!$EX$5:$EX$15,"*VAC*")</f>
        <v>0</v>
      </c>
      <c r="F156" s="22">
        <f>COUNTIF(Schedule!$EX$5:$EX$15,"*HOL*")</f>
        <v>0</v>
      </c>
      <c r="G156" s="22">
        <f>COUNTIF(Schedule!$EX$5:$EX$15,"*SICK*")</f>
        <v>0</v>
      </c>
      <c r="H156" s="22">
        <f>COUNTIF(Schedule!$EX$5:$EX$15,"*TRN*")</f>
        <v>0</v>
      </c>
      <c r="I156" s="22">
        <v>11</v>
      </c>
    </row>
    <row r="157" spans="1:9" ht="15" customHeight="1" x14ac:dyDescent="0.25">
      <c r="A157" s="21">
        <v>46340</v>
      </c>
      <c r="B157" s="22" t="s">
        <v>170</v>
      </c>
      <c r="C157" s="22">
        <f>COUNTBLANK(Schedule!$EY$5:$EY$15)</f>
        <v>11</v>
      </c>
      <c r="D157" s="22">
        <f t="shared" si="4"/>
        <v>0</v>
      </c>
      <c r="E157" s="22">
        <f>COUNTIF(Schedule!$EY$5:$EY$15,"*VAC*")</f>
        <v>0</v>
      </c>
      <c r="F157" s="22">
        <f>COUNTIF(Schedule!$EY$5:$EY$15,"*HOL*")</f>
        <v>0</v>
      </c>
      <c r="G157" s="22">
        <f>COUNTIF(Schedule!$EY$5:$EY$15,"*SICK*")</f>
        <v>0</v>
      </c>
      <c r="H157" s="22">
        <f>COUNTIF(Schedule!$EY$5:$EY$15,"*TRN*")</f>
        <v>0</v>
      </c>
      <c r="I157" s="22">
        <v>11</v>
      </c>
    </row>
    <row r="158" spans="1:9" ht="15" customHeight="1" x14ac:dyDescent="0.25">
      <c r="A158" s="21">
        <v>46341</v>
      </c>
      <c r="B158" s="22" t="s">
        <v>170</v>
      </c>
      <c r="C158" s="22">
        <f>COUNTBLANK(Schedule!$EZ$5:$EZ$15)</f>
        <v>11</v>
      </c>
      <c r="D158" s="22">
        <f t="shared" si="4"/>
        <v>0</v>
      </c>
      <c r="E158" s="22">
        <f>COUNTIF(Schedule!$EZ$5:$EZ$15,"*VAC*")</f>
        <v>0</v>
      </c>
      <c r="F158" s="22">
        <f>COUNTIF(Schedule!$EZ$5:$EZ$15,"*HOL*")</f>
        <v>0</v>
      </c>
      <c r="G158" s="22">
        <f>COUNTIF(Schedule!$EZ$5:$EZ$15,"*SICK*")</f>
        <v>0</v>
      </c>
      <c r="H158" s="22">
        <f>COUNTIF(Schedule!$EZ$5:$EZ$15,"*TRN*")</f>
        <v>0</v>
      </c>
      <c r="I158" s="22">
        <v>11</v>
      </c>
    </row>
    <row r="159" spans="1:9" ht="15" customHeight="1" x14ac:dyDescent="0.25">
      <c r="A159" s="21">
        <v>46342</v>
      </c>
      <c r="B159" s="22" t="s">
        <v>166</v>
      </c>
      <c r="C159" s="22">
        <f>COUNTBLANK(Schedule!$FA$5:$FA$15)</f>
        <v>11</v>
      </c>
      <c r="D159" s="22">
        <f t="shared" si="4"/>
        <v>0</v>
      </c>
      <c r="E159" s="22">
        <f>COUNTIF(Schedule!$FA$5:$FA$15,"*VAC*")</f>
        <v>0</v>
      </c>
      <c r="F159" s="22">
        <f>COUNTIF(Schedule!$FA$5:$FA$15,"*HOL*")</f>
        <v>0</v>
      </c>
      <c r="G159" s="22">
        <f>COUNTIF(Schedule!$FA$5:$FA$15,"*SICK*")</f>
        <v>0</v>
      </c>
      <c r="H159" s="22">
        <f>COUNTIF(Schedule!$FA$5:$FA$15,"*TRN*")</f>
        <v>0</v>
      </c>
      <c r="I159" s="22">
        <v>11</v>
      </c>
    </row>
    <row r="160" spans="1:9" ht="15" customHeight="1" x14ac:dyDescent="0.25">
      <c r="A160" s="21">
        <v>46343</v>
      </c>
      <c r="B160" s="22" t="s">
        <v>167</v>
      </c>
      <c r="C160" s="22">
        <f>COUNTBLANK(Schedule!$FB$5:$FB$15)</f>
        <v>11</v>
      </c>
      <c r="D160" s="22">
        <f t="shared" si="4"/>
        <v>0</v>
      </c>
      <c r="E160" s="22">
        <f>COUNTIF(Schedule!$FB$5:$FB$15,"*VAC*")</f>
        <v>0</v>
      </c>
      <c r="F160" s="22">
        <f>COUNTIF(Schedule!$FB$5:$FB$15,"*HOL*")</f>
        <v>0</v>
      </c>
      <c r="G160" s="22">
        <f>COUNTIF(Schedule!$FB$5:$FB$15,"*SICK*")</f>
        <v>0</v>
      </c>
      <c r="H160" s="22">
        <f>COUNTIF(Schedule!$FB$5:$FB$15,"*TRN*")</f>
        <v>0</v>
      </c>
      <c r="I160" s="22">
        <v>11</v>
      </c>
    </row>
    <row r="161" spans="1:9" ht="15" customHeight="1" x14ac:dyDescent="0.25">
      <c r="A161" s="21">
        <v>46344</v>
      </c>
      <c r="B161" s="22" t="s">
        <v>168</v>
      </c>
      <c r="C161" s="22">
        <f>COUNTBLANK(Schedule!$FC$5:$FC$15)</f>
        <v>11</v>
      </c>
      <c r="D161" s="22">
        <f t="shared" si="4"/>
        <v>0</v>
      </c>
      <c r="E161" s="22">
        <f>COUNTIF(Schedule!$FC$5:$FC$15,"*VAC*")</f>
        <v>0</v>
      </c>
      <c r="F161" s="22">
        <f>COUNTIF(Schedule!$FC$5:$FC$15,"*HOL*")</f>
        <v>0</v>
      </c>
      <c r="G161" s="22">
        <f>COUNTIF(Schedule!$FC$5:$FC$15,"*SICK*")</f>
        <v>0</v>
      </c>
      <c r="H161" s="22">
        <f>COUNTIF(Schedule!$FC$5:$FC$15,"*TRN*")</f>
        <v>0</v>
      </c>
      <c r="I161" s="22">
        <v>11</v>
      </c>
    </row>
    <row r="162" spans="1:9" ht="15" customHeight="1" x14ac:dyDescent="0.25">
      <c r="A162" s="21">
        <v>46345</v>
      </c>
      <c r="B162" s="22" t="s">
        <v>167</v>
      </c>
      <c r="C162" s="22">
        <f>COUNTBLANK(Schedule!$FD$5:$FD$15)</f>
        <v>11</v>
      </c>
      <c r="D162" s="22">
        <f t="shared" si="4"/>
        <v>0</v>
      </c>
      <c r="E162" s="22">
        <f>COUNTIF(Schedule!$FD$5:$FD$15,"*VAC*")</f>
        <v>0</v>
      </c>
      <c r="F162" s="22">
        <f>COUNTIF(Schedule!$FD$5:$FD$15,"*HOL*")</f>
        <v>0</v>
      </c>
      <c r="G162" s="22">
        <f>COUNTIF(Schedule!$FD$5:$FD$15,"*SICK*")</f>
        <v>0</v>
      </c>
      <c r="H162" s="22">
        <f>COUNTIF(Schedule!$FD$5:$FD$15,"*TRN*")</f>
        <v>0</v>
      </c>
      <c r="I162" s="22">
        <v>11</v>
      </c>
    </row>
    <row r="163" spans="1:9" ht="15" customHeight="1" x14ac:dyDescent="0.25">
      <c r="A163" s="21">
        <v>46346</v>
      </c>
      <c r="B163" s="22" t="s">
        <v>169</v>
      </c>
      <c r="C163" s="22">
        <f>COUNTBLANK(Schedule!$FE$5:$FE$15)</f>
        <v>11</v>
      </c>
      <c r="D163" s="22">
        <f t="shared" si="4"/>
        <v>0</v>
      </c>
      <c r="E163" s="22">
        <f>COUNTIF(Schedule!$FE$5:$FE$15,"*VAC*")</f>
        <v>0</v>
      </c>
      <c r="F163" s="22">
        <f>COUNTIF(Schedule!$FE$5:$FE$15,"*HOL*")</f>
        <v>0</v>
      </c>
      <c r="G163" s="22">
        <f>COUNTIF(Schedule!$FE$5:$FE$15,"*SICK*")</f>
        <v>0</v>
      </c>
      <c r="H163" s="22">
        <f>COUNTIF(Schedule!$FE$5:$FE$15,"*TRN*")</f>
        <v>0</v>
      </c>
      <c r="I163" s="22">
        <v>11</v>
      </c>
    </row>
    <row r="164" spans="1:9" ht="15" customHeight="1" x14ac:dyDescent="0.25">
      <c r="A164" s="21">
        <v>46347</v>
      </c>
      <c r="B164" s="22" t="s">
        <v>170</v>
      </c>
      <c r="C164" s="22">
        <f>COUNTBLANK(Schedule!$FF$5:$FF$15)</f>
        <v>11</v>
      </c>
      <c r="D164" s="22">
        <f t="shared" si="4"/>
        <v>0</v>
      </c>
      <c r="E164" s="22">
        <f>COUNTIF(Schedule!$FF$5:$FF$15,"*VAC*")</f>
        <v>0</v>
      </c>
      <c r="F164" s="22">
        <f>COUNTIF(Schedule!$FF$5:$FF$15,"*HOL*")</f>
        <v>0</v>
      </c>
      <c r="G164" s="22">
        <f>COUNTIF(Schedule!$FF$5:$FF$15,"*SICK*")</f>
        <v>0</v>
      </c>
      <c r="H164" s="22">
        <f>COUNTIF(Schedule!$FF$5:$FF$15,"*TRN*")</f>
        <v>0</v>
      </c>
      <c r="I164" s="22">
        <v>11</v>
      </c>
    </row>
    <row r="165" spans="1:9" ht="15" customHeight="1" x14ac:dyDescent="0.25">
      <c r="A165" s="21">
        <v>46348</v>
      </c>
      <c r="B165" s="22" t="s">
        <v>170</v>
      </c>
      <c r="C165" s="22">
        <f>COUNTBLANK(Schedule!$FG$5:$FG$15)</f>
        <v>11</v>
      </c>
      <c r="D165" s="22">
        <f t="shared" ref="D165:D196" si="5">I165-C165-E165-F165-G165-H165</f>
        <v>0</v>
      </c>
      <c r="E165" s="22">
        <f>COUNTIF(Schedule!$FG$5:$FG$15,"*VAC*")</f>
        <v>0</v>
      </c>
      <c r="F165" s="22">
        <f>COUNTIF(Schedule!$FG$5:$FG$15,"*HOL*")</f>
        <v>0</v>
      </c>
      <c r="G165" s="22">
        <f>COUNTIF(Schedule!$FG$5:$FG$15,"*SICK*")</f>
        <v>0</v>
      </c>
      <c r="H165" s="22">
        <f>COUNTIF(Schedule!$FG$5:$FG$15,"*TRN*")</f>
        <v>0</v>
      </c>
      <c r="I165" s="22">
        <v>11</v>
      </c>
    </row>
    <row r="166" spans="1:9" ht="15" customHeight="1" x14ac:dyDescent="0.25">
      <c r="A166" s="21">
        <v>46349</v>
      </c>
      <c r="B166" s="22" t="s">
        <v>166</v>
      </c>
      <c r="C166" s="22">
        <f>COUNTBLANK(Schedule!$FH$5:$FH$15)</f>
        <v>11</v>
      </c>
      <c r="D166" s="22">
        <f t="shared" si="5"/>
        <v>0</v>
      </c>
      <c r="E166" s="22">
        <f>COUNTIF(Schedule!$FH$5:$FH$15,"*VAC*")</f>
        <v>0</v>
      </c>
      <c r="F166" s="22">
        <f>COUNTIF(Schedule!$FH$5:$FH$15,"*HOL*")</f>
        <v>0</v>
      </c>
      <c r="G166" s="22">
        <f>COUNTIF(Schedule!$FH$5:$FH$15,"*SICK*")</f>
        <v>0</v>
      </c>
      <c r="H166" s="22">
        <f>COUNTIF(Schedule!$FH$5:$FH$15,"*TRN*")</f>
        <v>0</v>
      </c>
      <c r="I166" s="22">
        <v>11</v>
      </c>
    </row>
    <row r="167" spans="1:9" ht="15" customHeight="1" x14ac:dyDescent="0.25">
      <c r="A167" s="21">
        <v>46350</v>
      </c>
      <c r="B167" s="22" t="s">
        <v>167</v>
      </c>
      <c r="C167" s="22">
        <f>COUNTBLANK(Schedule!$FI$5:$FI$15)</f>
        <v>11</v>
      </c>
      <c r="D167" s="22">
        <f t="shared" si="5"/>
        <v>0</v>
      </c>
      <c r="E167" s="22">
        <f>COUNTIF(Schedule!$FI$5:$FI$15,"*VAC*")</f>
        <v>0</v>
      </c>
      <c r="F167" s="22">
        <f>COUNTIF(Schedule!$FI$5:$FI$15,"*HOL*")</f>
        <v>0</v>
      </c>
      <c r="G167" s="22">
        <f>COUNTIF(Schedule!$FI$5:$FI$15,"*SICK*")</f>
        <v>0</v>
      </c>
      <c r="H167" s="22">
        <f>COUNTIF(Schedule!$FI$5:$FI$15,"*TRN*")</f>
        <v>0</v>
      </c>
      <c r="I167" s="22">
        <v>11</v>
      </c>
    </row>
    <row r="168" spans="1:9" ht="15" customHeight="1" x14ac:dyDescent="0.25">
      <c r="A168" s="21">
        <v>46351</v>
      </c>
      <c r="B168" s="22" t="s">
        <v>168</v>
      </c>
      <c r="C168" s="22">
        <f>COUNTBLANK(Schedule!$FJ$5:$FJ$15)</f>
        <v>11</v>
      </c>
      <c r="D168" s="22">
        <f t="shared" si="5"/>
        <v>0</v>
      </c>
      <c r="E168" s="22">
        <f>COUNTIF(Schedule!$FJ$5:$FJ$15,"*VAC*")</f>
        <v>0</v>
      </c>
      <c r="F168" s="22">
        <f>COUNTIF(Schedule!$FJ$5:$FJ$15,"*HOL*")</f>
        <v>0</v>
      </c>
      <c r="G168" s="22">
        <f>COUNTIF(Schedule!$FJ$5:$FJ$15,"*SICK*")</f>
        <v>0</v>
      </c>
      <c r="H168" s="22">
        <f>COUNTIF(Schedule!$FJ$5:$FJ$15,"*TRN*")</f>
        <v>0</v>
      </c>
      <c r="I168" s="22">
        <v>11</v>
      </c>
    </row>
    <row r="169" spans="1:9" ht="15" customHeight="1" x14ac:dyDescent="0.25">
      <c r="A169" s="21">
        <v>46352</v>
      </c>
      <c r="B169" s="22" t="s">
        <v>167</v>
      </c>
      <c r="C169" s="22">
        <f>COUNTBLANK(Schedule!$FK$5:$FK$15)</f>
        <v>0</v>
      </c>
      <c r="D169" s="22">
        <f t="shared" si="5"/>
        <v>0</v>
      </c>
      <c r="E169" s="22">
        <f>COUNTIF(Schedule!$FK$5:$FK$15,"*VAC*")</f>
        <v>0</v>
      </c>
      <c r="F169" s="22">
        <f>COUNTIF(Schedule!$FK$5:$FK$15,"*HOL*")</f>
        <v>11</v>
      </c>
      <c r="G169" s="22">
        <f>COUNTIF(Schedule!$FK$5:$FK$15,"*SICK*")</f>
        <v>0</v>
      </c>
      <c r="H169" s="22">
        <f>COUNTIF(Schedule!$FK$5:$FK$15,"*TRN*")</f>
        <v>0</v>
      </c>
      <c r="I169" s="22">
        <v>11</v>
      </c>
    </row>
    <row r="170" spans="1:9" ht="15" customHeight="1" x14ac:dyDescent="0.25">
      <c r="A170" s="21">
        <v>46353</v>
      </c>
      <c r="B170" s="22" t="s">
        <v>169</v>
      </c>
      <c r="C170" s="22">
        <f>COUNTBLANK(Schedule!$FL$5:$FL$15)</f>
        <v>0</v>
      </c>
      <c r="D170" s="22">
        <f t="shared" si="5"/>
        <v>0</v>
      </c>
      <c r="E170" s="22">
        <f>COUNTIF(Schedule!$FL$5:$FL$15,"*VAC*")</f>
        <v>0</v>
      </c>
      <c r="F170" s="22">
        <f>COUNTIF(Schedule!$FL$5:$FL$15,"*HOL*")</f>
        <v>11</v>
      </c>
      <c r="G170" s="22">
        <f>COUNTIF(Schedule!$FL$5:$FL$15,"*SICK*")</f>
        <v>0</v>
      </c>
      <c r="H170" s="22">
        <f>COUNTIF(Schedule!$FL$5:$FL$15,"*TRN*")</f>
        <v>0</v>
      </c>
      <c r="I170" s="22">
        <v>11</v>
      </c>
    </row>
    <row r="171" spans="1:9" ht="15" customHeight="1" x14ac:dyDescent="0.25">
      <c r="A171" s="21">
        <v>46354</v>
      </c>
      <c r="B171" s="22" t="s">
        <v>170</v>
      </c>
      <c r="C171" s="22">
        <f>COUNTBLANK(Schedule!$FM$5:$FM$15)</f>
        <v>11</v>
      </c>
      <c r="D171" s="22">
        <f t="shared" si="5"/>
        <v>0</v>
      </c>
      <c r="E171" s="22">
        <f>COUNTIF(Schedule!$FM$5:$FM$15,"*VAC*")</f>
        <v>0</v>
      </c>
      <c r="F171" s="22">
        <f>COUNTIF(Schedule!$FM$5:$FM$15,"*HOL*")</f>
        <v>0</v>
      </c>
      <c r="G171" s="22">
        <f>COUNTIF(Schedule!$FM$5:$FM$15,"*SICK*")</f>
        <v>0</v>
      </c>
      <c r="H171" s="22">
        <f>COUNTIF(Schedule!$FM$5:$FM$15,"*TRN*")</f>
        <v>0</v>
      </c>
      <c r="I171" s="22">
        <v>11</v>
      </c>
    </row>
    <row r="172" spans="1:9" ht="15" customHeight="1" x14ac:dyDescent="0.25">
      <c r="A172" s="21">
        <v>46355</v>
      </c>
      <c r="B172" s="22" t="s">
        <v>170</v>
      </c>
      <c r="C172" s="22">
        <f>COUNTBLANK(Schedule!$FN$5:$FN$15)</f>
        <v>11</v>
      </c>
      <c r="D172" s="22">
        <f t="shared" si="5"/>
        <v>0</v>
      </c>
      <c r="E172" s="22">
        <f>COUNTIF(Schedule!$FN$5:$FN$15,"*VAC*")</f>
        <v>0</v>
      </c>
      <c r="F172" s="22">
        <f>COUNTIF(Schedule!$FN$5:$FN$15,"*HOL*")</f>
        <v>0</v>
      </c>
      <c r="G172" s="22">
        <f>COUNTIF(Schedule!$FN$5:$FN$15,"*SICK*")</f>
        <v>0</v>
      </c>
      <c r="H172" s="22">
        <f>COUNTIF(Schedule!$FN$5:$FN$15,"*TRN*")</f>
        <v>0</v>
      </c>
      <c r="I172" s="22">
        <v>11</v>
      </c>
    </row>
    <row r="173" spans="1:9" ht="15" customHeight="1" x14ac:dyDescent="0.25">
      <c r="A173" s="21">
        <v>46356</v>
      </c>
      <c r="B173" s="22" t="s">
        <v>166</v>
      </c>
      <c r="C173" s="22">
        <f>COUNTBLANK(Schedule!$FO$5:$FO$15)</f>
        <v>11</v>
      </c>
      <c r="D173" s="22">
        <f t="shared" si="5"/>
        <v>0</v>
      </c>
      <c r="E173" s="22">
        <f>COUNTIF(Schedule!$FO$5:$FO$15,"*VAC*")</f>
        <v>0</v>
      </c>
      <c r="F173" s="22">
        <f>COUNTIF(Schedule!$FO$5:$FO$15,"*HOL*")</f>
        <v>0</v>
      </c>
      <c r="G173" s="22">
        <f>COUNTIF(Schedule!$FO$5:$FO$15,"*SICK*")</f>
        <v>0</v>
      </c>
      <c r="H173" s="22">
        <f>COUNTIF(Schedule!$FO$5:$FO$15,"*TRN*")</f>
        <v>0</v>
      </c>
      <c r="I173" s="22">
        <v>11</v>
      </c>
    </row>
    <row r="174" spans="1:9" ht="15" customHeight="1" x14ac:dyDescent="0.25">
      <c r="A174" s="21">
        <v>46357</v>
      </c>
      <c r="B174" s="22" t="s">
        <v>167</v>
      </c>
      <c r="C174" s="22">
        <f>COUNTBLANK(Schedule!$FP$5:$FP$15)</f>
        <v>11</v>
      </c>
      <c r="D174" s="22">
        <f t="shared" si="5"/>
        <v>0</v>
      </c>
      <c r="E174" s="22">
        <f>COUNTIF(Schedule!$FP$5:$FP$15,"*VAC*")</f>
        <v>0</v>
      </c>
      <c r="F174" s="22">
        <f>COUNTIF(Schedule!$FP$5:$FP$15,"*HOL*")</f>
        <v>0</v>
      </c>
      <c r="G174" s="22">
        <f>COUNTIF(Schedule!$FP$5:$FP$15,"*SICK*")</f>
        <v>0</v>
      </c>
      <c r="H174" s="22">
        <f>COUNTIF(Schedule!$FP$5:$FP$15,"*TRN*")</f>
        <v>0</v>
      </c>
      <c r="I174" s="22">
        <v>11</v>
      </c>
    </row>
    <row r="175" spans="1:9" ht="15" customHeight="1" x14ac:dyDescent="0.25">
      <c r="A175" s="21">
        <v>46358</v>
      </c>
      <c r="B175" s="22" t="s">
        <v>168</v>
      </c>
      <c r="C175" s="22">
        <f>COUNTBLANK(Schedule!$FQ$5:$FQ$15)</f>
        <v>11</v>
      </c>
      <c r="D175" s="22">
        <f t="shared" si="5"/>
        <v>0</v>
      </c>
      <c r="E175" s="22">
        <f>COUNTIF(Schedule!$FQ$5:$FQ$15,"*VAC*")</f>
        <v>0</v>
      </c>
      <c r="F175" s="22">
        <f>COUNTIF(Schedule!$FQ$5:$FQ$15,"*HOL*")</f>
        <v>0</v>
      </c>
      <c r="G175" s="22">
        <f>COUNTIF(Schedule!$FQ$5:$FQ$15,"*SICK*")</f>
        <v>0</v>
      </c>
      <c r="H175" s="22">
        <f>COUNTIF(Schedule!$FQ$5:$FQ$15,"*TRN*")</f>
        <v>0</v>
      </c>
      <c r="I175" s="22">
        <v>11</v>
      </c>
    </row>
    <row r="176" spans="1:9" ht="15" customHeight="1" x14ac:dyDescent="0.25">
      <c r="A176" s="21">
        <v>46359</v>
      </c>
      <c r="B176" s="22" t="s">
        <v>167</v>
      </c>
      <c r="C176" s="22">
        <f>COUNTBLANK(Schedule!$FR$5:$FR$15)</f>
        <v>11</v>
      </c>
      <c r="D176" s="22">
        <f t="shared" si="5"/>
        <v>0</v>
      </c>
      <c r="E176" s="22">
        <f>COUNTIF(Schedule!$FR$5:$FR$15,"*VAC*")</f>
        <v>0</v>
      </c>
      <c r="F176" s="22">
        <f>COUNTIF(Schedule!$FR$5:$FR$15,"*HOL*")</f>
        <v>0</v>
      </c>
      <c r="G176" s="22">
        <f>COUNTIF(Schedule!$FR$5:$FR$15,"*SICK*")</f>
        <v>0</v>
      </c>
      <c r="H176" s="22">
        <f>COUNTIF(Schedule!$FR$5:$FR$15,"*TRN*")</f>
        <v>0</v>
      </c>
      <c r="I176" s="22">
        <v>11</v>
      </c>
    </row>
    <row r="177" spans="1:9" ht="15" customHeight="1" x14ac:dyDescent="0.25">
      <c r="A177" s="21">
        <v>46360</v>
      </c>
      <c r="B177" s="22" t="s">
        <v>169</v>
      </c>
      <c r="C177" s="22">
        <f>COUNTBLANK(Schedule!$FS$5:$FS$15)</f>
        <v>10</v>
      </c>
      <c r="D177" s="22">
        <f t="shared" si="5"/>
        <v>0</v>
      </c>
      <c r="E177" s="22">
        <f>COUNTIF(Schedule!$FS$5:$FS$15,"*VAC*")</f>
        <v>1</v>
      </c>
      <c r="F177" s="22">
        <f>COUNTIF(Schedule!$FS$5:$FS$15,"*HOL*")</f>
        <v>0</v>
      </c>
      <c r="G177" s="22">
        <f>COUNTIF(Schedule!$FS$5:$FS$15,"*SICK*")</f>
        <v>0</v>
      </c>
      <c r="H177" s="22">
        <f>COUNTIF(Schedule!$FS$5:$FS$15,"*TRN*")</f>
        <v>0</v>
      </c>
      <c r="I177" s="22">
        <v>11</v>
      </c>
    </row>
    <row r="178" spans="1:9" ht="15" customHeight="1" x14ac:dyDescent="0.25">
      <c r="A178" s="21">
        <v>46361</v>
      </c>
      <c r="B178" s="22" t="s">
        <v>170</v>
      </c>
      <c r="C178" s="22">
        <f>COUNTBLANK(Schedule!$FT$5:$FT$15)</f>
        <v>11</v>
      </c>
      <c r="D178" s="22">
        <f t="shared" si="5"/>
        <v>0</v>
      </c>
      <c r="E178" s="22">
        <f>COUNTIF(Schedule!$FT$5:$FT$15,"*VAC*")</f>
        <v>0</v>
      </c>
      <c r="F178" s="22">
        <f>COUNTIF(Schedule!$FT$5:$FT$15,"*HOL*")</f>
        <v>0</v>
      </c>
      <c r="G178" s="22">
        <f>COUNTIF(Schedule!$FT$5:$FT$15,"*SICK*")</f>
        <v>0</v>
      </c>
      <c r="H178" s="22">
        <f>COUNTIF(Schedule!$FT$5:$FT$15,"*TRN*")</f>
        <v>0</v>
      </c>
      <c r="I178" s="22">
        <v>11</v>
      </c>
    </row>
    <row r="179" spans="1:9" ht="15" customHeight="1" x14ac:dyDescent="0.25">
      <c r="A179" s="21">
        <v>46362</v>
      </c>
      <c r="B179" s="22" t="s">
        <v>170</v>
      </c>
      <c r="C179" s="22">
        <f>COUNTBLANK(Schedule!$FU$5:$FU$15)</f>
        <v>11</v>
      </c>
      <c r="D179" s="22">
        <f t="shared" si="5"/>
        <v>0</v>
      </c>
      <c r="E179" s="22">
        <f>COUNTIF(Schedule!$FU$5:$FU$15,"*VAC*")</f>
        <v>0</v>
      </c>
      <c r="F179" s="22">
        <f>COUNTIF(Schedule!$FU$5:$FU$15,"*HOL*")</f>
        <v>0</v>
      </c>
      <c r="G179" s="22">
        <f>COUNTIF(Schedule!$FU$5:$FU$15,"*SICK*")</f>
        <v>0</v>
      </c>
      <c r="H179" s="22">
        <f>COUNTIF(Schedule!$FU$5:$FU$15,"*TRN*")</f>
        <v>0</v>
      </c>
      <c r="I179" s="22">
        <v>11</v>
      </c>
    </row>
    <row r="180" spans="1:9" ht="15" customHeight="1" x14ac:dyDescent="0.25">
      <c r="A180" s="21">
        <v>46363</v>
      </c>
      <c r="B180" s="22" t="s">
        <v>166</v>
      </c>
      <c r="C180" s="22">
        <f>COUNTBLANK(Schedule!$FV$5:$FV$15)</f>
        <v>10</v>
      </c>
      <c r="D180" s="22">
        <f t="shared" si="5"/>
        <v>0</v>
      </c>
      <c r="E180" s="22">
        <f>COUNTIF(Schedule!$FV$5:$FV$15,"*VAC*")</f>
        <v>1</v>
      </c>
      <c r="F180" s="22">
        <f>COUNTIF(Schedule!$FV$5:$FV$15,"*HOL*")</f>
        <v>0</v>
      </c>
      <c r="G180" s="22">
        <f>COUNTIF(Schedule!$FV$5:$FV$15,"*SICK*")</f>
        <v>0</v>
      </c>
      <c r="H180" s="22">
        <f>COUNTIF(Schedule!$FV$5:$FV$15,"*TRN*")</f>
        <v>0</v>
      </c>
      <c r="I180" s="22">
        <v>11</v>
      </c>
    </row>
    <row r="181" spans="1:9" ht="15" customHeight="1" x14ac:dyDescent="0.25">
      <c r="A181" s="21">
        <v>46364</v>
      </c>
      <c r="B181" s="22" t="s">
        <v>167</v>
      </c>
      <c r="C181" s="22">
        <f>COUNTBLANK(Schedule!$FW$5:$FW$15)</f>
        <v>10</v>
      </c>
      <c r="D181" s="22">
        <f t="shared" si="5"/>
        <v>0</v>
      </c>
      <c r="E181" s="22">
        <f>COUNTIF(Schedule!$FW$5:$FW$15,"*VAC*")</f>
        <v>1</v>
      </c>
      <c r="F181" s="22">
        <f>COUNTIF(Schedule!$FW$5:$FW$15,"*HOL*")</f>
        <v>0</v>
      </c>
      <c r="G181" s="22">
        <f>COUNTIF(Schedule!$FW$5:$FW$15,"*SICK*")</f>
        <v>0</v>
      </c>
      <c r="H181" s="22">
        <f>COUNTIF(Schedule!$FW$5:$FW$15,"*TRN*")</f>
        <v>0</v>
      </c>
      <c r="I181" s="22">
        <v>11</v>
      </c>
    </row>
    <row r="182" spans="1:9" ht="15" customHeight="1" x14ac:dyDescent="0.25">
      <c r="A182" s="21">
        <v>46365</v>
      </c>
      <c r="B182" s="22" t="s">
        <v>168</v>
      </c>
      <c r="C182" s="22">
        <f>COUNTBLANK(Schedule!$FX$5:$FX$15)</f>
        <v>10</v>
      </c>
      <c r="D182" s="22">
        <f t="shared" si="5"/>
        <v>0</v>
      </c>
      <c r="E182" s="22">
        <f>COUNTIF(Schedule!$FX$5:$FX$15,"*VAC*")</f>
        <v>1</v>
      </c>
      <c r="F182" s="22">
        <f>COUNTIF(Schedule!$FX$5:$FX$15,"*HOL*")</f>
        <v>0</v>
      </c>
      <c r="G182" s="22">
        <f>COUNTIF(Schedule!$FX$5:$FX$15,"*SICK*")</f>
        <v>0</v>
      </c>
      <c r="H182" s="22">
        <f>COUNTIF(Schedule!$FX$5:$FX$15,"*TRN*")</f>
        <v>0</v>
      </c>
      <c r="I182" s="22">
        <v>11</v>
      </c>
    </row>
    <row r="183" spans="1:9" ht="15" customHeight="1" x14ac:dyDescent="0.25">
      <c r="A183" s="21">
        <v>46366</v>
      </c>
      <c r="B183" s="22" t="s">
        <v>167</v>
      </c>
      <c r="C183" s="22">
        <f>COUNTBLANK(Schedule!$FY$5:$FY$15)</f>
        <v>10</v>
      </c>
      <c r="D183" s="22">
        <f t="shared" si="5"/>
        <v>0</v>
      </c>
      <c r="E183" s="22">
        <f>COUNTIF(Schedule!$FY$5:$FY$15,"*VAC*")</f>
        <v>1</v>
      </c>
      <c r="F183" s="22">
        <f>COUNTIF(Schedule!$FY$5:$FY$15,"*HOL*")</f>
        <v>0</v>
      </c>
      <c r="G183" s="22">
        <f>COUNTIF(Schedule!$FY$5:$FY$15,"*SICK*")</f>
        <v>0</v>
      </c>
      <c r="H183" s="22">
        <f>COUNTIF(Schedule!$FY$5:$FY$15,"*TRN*")</f>
        <v>0</v>
      </c>
      <c r="I183" s="22">
        <v>11</v>
      </c>
    </row>
    <row r="184" spans="1:9" ht="15" customHeight="1" x14ac:dyDescent="0.25">
      <c r="A184" s="21">
        <v>46367</v>
      </c>
      <c r="B184" s="22" t="s">
        <v>169</v>
      </c>
      <c r="C184" s="22">
        <f>COUNTBLANK(Schedule!$FZ$5:$FZ$15)</f>
        <v>10</v>
      </c>
      <c r="D184" s="22">
        <f t="shared" si="5"/>
        <v>0</v>
      </c>
      <c r="E184" s="22">
        <f>COUNTIF(Schedule!$FZ$5:$FZ$15,"*VAC*")</f>
        <v>1</v>
      </c>
      <c r="F184" s="22">
        <f>COUNTIF(Schedule!$FZ$5:$FZ$15,"*HOL*")</f>
        <v>0</v>
      </c>
      <c r="G184" s="22">
        <f>COUNTIF(Schedule!$FZ$5:$FZ$15,"*SICK*")</f>
        <v>0</v>
      </c>
      <c r="H184" s="22">
        <f>COUNTIF(Schedule!$FZ$5:$FZ$15,"*TRN*")</f>
        <v>0</v>
      </c>
      <c r="I184" s="22">
        <v>11</v>
      </c>
    </row>
    <row r="185" spans="1:9" ht="15" customHeight="1" x14ac:dyDescent="0.25">
      <c r="A185" s="21">
        <v>46368</v>
      </c>
      <c r="B185" s="22" t="s">
        <v>170</v>
      </c>
      <c r="C185" s="22">
        <f>COUNTBLANK(Schedule!$GA$5:$GA$15)</f>
        <v>11</v>
      </c>
      <c r="D185" s="22">
        <f t="shared" si="5"/>
        <v>0</v>
      </c>
      <c r="E185" s="22">
        <f>COUNTIF(Schedule!$GA$5:$GA$15,"*VAC*")</f>
        <v>0</v>
      </c>
      <c r="F185" s="22">
        <f>COUNTIF(Schedule!$GA$5:$GA$15,"*HOL*")</f>
        <v>0</v>
      </c>
      <c r="G185" s="22">
        <f>COUNTIF(Schedule!$GA$5:$GA$15,"*SICK*")</f>
        <v>0</v>
      </c>
      <c r="H185" s="22">
        <f>COUNTIF(Schedule!$GA$5:$GA$15,"*TRN*")</f>
        <v>0</v>
      </c>
      <c r="I185" s="22">
        <v>11</v>
      </c>
    </row>
    <row r="186" spans="1:9" ht="15" customHeight="1" x14ac:dyDescent="0.25">
      <c r="A186" s="21">
        <v>46369</v>
      </c>
      <c r="B186" s="22" t="s">
        <v>170</v>
      </c>
      <c r="C186" s="22">
        <f>COUNTBLANK(Schedule!$GB$5:$GB$15)</f>
        <v>11</v>
      </c>
      <c r="D186" s="22">
        <f t="shared" si="5"/>
        <v>0</v>
      </c>
      <c r="E186" s="22">
        <f>COUNTIF(Schedule!$GB$5:$GB$15,"*VAC*")</f>
        <v>0</v>
      </c>
      <c r="F186" s="22">
        <f>COUNTIF(Schedule!$GB$5:$GB$15,"*HOL*")</f>
        <v>0</v>
      </c>
      <c r="G186" s="22">
        <f>COUNTIF(Schedule!$GB$5:$GB$15,"*SICK*")</f>
        <v>0</v>
      </c>
      <c r="H186" s="22">
        <f>COUNTIF(Schedule!$GB$5:$GB$15,"*TRN*")</f>
        <v>0</v>
      </c>
      <c r="I186" s="22">
        <v>11</v>
      </c>
    </row>
    <row r="187" spans="1:9" ht="15" customHeight="1" x14ac:dyDescent="0.25">
      <c r="A187" s="21">
        <v>46370</v>
      </c>
      <c r="B187" s="22" t="s">
        <v>166</v>
      </c>
      <c r="C187" s="22">
        <f>COUNTBLANK(Schedule!$GC$5:$GC$15)</f>
        <v>11</v>
      </c>
      <c r="D187" s="22">
        <f t="shared" si="5"/>
        <v>0</v>
      </c>
      <c r="E187" s="22">
        <f>COUNTIF(Schedule!$GC$5:$GC$15,"*VAC*")</f>
        <v>0</v>
      </c>
      <c r="F187" s="22">
        <f>COUNTIF(Schedule!$GC$5:$GC$15,"*HOL*")</f>
        <v>0</v>
      </c>
      <c r="G187" s="22">
        <f>COUNTIF(Schedule!$GC$5:$GC$15,"*SICK*")</f>
        <v>0</v>
      </c>
      <c r="H187" s="22">
        <f>COUNTIF(Schedule!$GC$5:$GC$15,"*TRN*")</f>
        <v>0</v>
      </c>
      <c r="I187" s="22">
        <v>11</v>
      </c>
    </row>
    <row r="188" spans="1:9" ht="15" customHeight="1" x14ac:dyDescent="0.25">
      <c r="A188" s="21">
        <v>46371</v>
      </c>
      <c r="B188" s="22" t="s">
        <v>167</v>
      </c>
      <c r="C188" s="22">
        <f>COUNTBLANK(Schedule!$GD$5:$GD$15)</f>
        <v>11</v>
      </c>
      <c r="D188" s="22">
        <f t="shared" si="5"/>
        <v>0</v>
      </c>
      <c r="E188" s="22">
        <f>COUNTIF(Schedule!$GD$5:$GD$15,"*VAC*")</f>
        <v>0</v>
      </c>
      <c r="F188" s="22">
        <f>COUNTIF(Schedule!$GD$5:$GD$15,"*HOL*")</f>
        <v>0</v>
      </c>
      <c r="G188" s="22">
        <f>COUNTIF(Schedule!$GD$5:$GD$15,"*SICK*")</f>
        <v>0</v>
      </c>
      <c r="H188" s="22">
        <f>COUNTIF(Schedule!$GD$5:$GD$15,"*TRN*")</f>
        <v>0</v>
      </c>
      <c r="I188" s="22">
        <v>11</v>
      </c>
    </row>
    <row r="189" spans="1:9" ht="15" customHeight="1" x14ac:dyDescent="0.25">
      <c r="A189" s="21">
        <v>46372</v>
      </c>
      <c r="B189" s="22" t="s">
        <v>168</v>
      </c>
      <c r="C189" s="22">
        <f>COUNTBLANK(Schedule!$GE$5:$GE$15)</f>
        <v>11</v>
      </c>
      <c r="D189" s="22">
        <f t="shared" si="5"/>
        <v>0</v>
      </c>
      <c r="E189" s="22">
        <f>COUNTIF(Schedule!$GE$5:$GE$15,"*VAC*")</f>
        <v>0</v>
      </c>
      <c r="F189" s="22">
        <f>COUNTIF(Schedule!$GE$5:$GE$15,"*HOL*")</f>
        <v>0</v>
      </c>
      <c r="G189" s="22">
        <f>COUNTIF(Schedule!$GE$5:$GE$15,"*SICK*")</f>
        <v>0</v>
      </c>
      <c r="H189" s="22">
        <f>COUNTIF(Schedule!$GE$5:$GE$15,"*TRN*")</f>
        <v>0</v>
      </c>
      <c r="I189" s="22">
        <v>11</v>
      </c>
    </row>
    <row r="190" spans="1:9" ht="15" customHeight="1" x14ac:dyDescent="0.25">
      <c r="A190" s="21">
        <v>46373</v>
      </c>
      <c r="B190" s="22" t="s">
        <v>167</v>
      </c>
      <c r="C190" s="22">
        <f>COUNTBLANK(Schedule!$GF$5:$GF$15)</f>
        <v>11</v>
      </c>
      <c r="D190" s="22">
        <f t="shared" si="5"/>
        <v>0</v>
      </c>
      <c r="E190" s="22">
        <f>COUNTIF(Schedule!$GF$5:$GF$15,"*VAC*")</f>
        <v>0</v>
      </c>
      <c r="F190" s="22">
        <f>COUNTIF(Schedule!$GF$5:$GF$15,"*HOL*")</f>
        <v>0</v>
      </c>
      <c r="G190" s="22">
        <f>COUNTIF(Schedule!$GF$5:$GF$15,"*SICK*")</f>
        <v>0</v>
      </c>
      <c r="H190" s="22">
        <f>COUNTIF(Schedule!$GF$5:$GF$15,"*TRN*")</f>
        <v>0</v>
      </c>
      <c r="I190" s="22">
        <v>11</v>
      </c>
    </row>
    <row r="191" spans="1:9" ht="15" customHeight="1" x14ac:dyDescent="0.25">
      <c r="A191" s="21">
        <v>46374</v>
      </c>
      <c r="B191" s="22" t="s">
        <v>169</v>
      </c>
      <c r="C191" s="22">
        <f>COUNTBLANK(Schedule!$GG$5:$GG$15)</f>
        <v>11</v>
      </c>
      <c r="D191" s="22">
        <f t="shared" si="5"/>
        <v>0</v>
      </c>
      <c r="E191" s="22">
        <f>COUNTIF(Schedule!$GG$5:$GG$15,"*VAC*")</f>
        <v>0</v>
      </c>
      <c r="F191" s="22">
        <f>COUNTIF(Schedule!$GG$5:$GG$15,"*HOL*")</f>
        <v>0</v>
      </c>
      <c r="G191" s="22">
        <f>COUNTIF(Schedule!$GG$5:$GG$15,"*SICK*")</f>
        <v>0</v>
      </c>
      <c r="H191" s="22">
        <f>COUNTIF(Schedule!$GG$5:$GG$15,"*TRN*")</f>
        <v>0</v>
      </c>
      <c r="I191" s="22">
        <v>11</v>
      </c>
    </row>
    <row r="192" spans="1:9" ht="15" customHeight="1" x14ac:dyDescent="0.25">
      <c r="A192" s="21">
        <v>46375</v>
      </c>
      <c r="B192" s="22" t="s">
        <v>170</v>
      </c>
      <c r="C192" s="22">
        <f>COUNTBLANK(Schedule!$GH$5:$GH$15)</f>
        <v>11</v>
      </c>
      <c r="D192" s="22">
        <f t="shared" si="5"/>
        <v>0</v>
      </c>
      <c r="E192" s="22">
        <f>COUNTIF(Schedule!$GH$5:$GH$15,"*VAC*")</f>
        <v>0</v>
      </c>
      <c r="F192" s="22">
        <f>COUNTIF(Schedule!$GH$5:$GH$15,"*HOL*")</f>
        <v>0</v>
      </c>
      <c r="G192" s="22">
        <f>COUNTIF(Schedule!$GH$5:$GH$15,"*SICK*")</f>
        <v>0</v>
      </c>
      <c r="H192" s="22">
        <f>COUNTIF(Schedule!$GH$5:$GH$15,"*TRN*")</f>
        <v>0</v>
      </c>
      <c r="I192" s="22">
        <v>11</v>
      </c>
    </row>
    <row r="193" spans="1:9" ht="15" customHeight="1" x14ac:dyDescent="0.25">
      <c r="A193" s="21">
        <v>46376</v>
      </c>
      <c r="B193" s="22" t="s">
        <v>170</v>
      </c>
      <c r="C193" s="22">
        <f>COUNTBLANK(Schedule!$GI$5:$GI$15)</f>
        <v>11</v>
      </c>
      <c r="D193" s="22">
        <f t="shared" si="5"/>
        <v>0</v>
      </c>
      <c r="E193" s="22">
        <f>COUNTIF(Schedule!$GI$5:$GI$15,"*VAC*")</f>
        <v>0</v>
      </c>
      <c r="F193" s="22">
        <f>COUNTIF(Schedule!$GI$5:$GI$15,"*HOL*")</f>
        <v>0</v>
      </c>
      <c r="G193" s="22">
        <f>COUNTIF(Schedule!$GI$5:$GI$15,"*SICK*")</f>
        <v>0</v>
      </c>
      <c r="H193" s="22">
        <f>COUNTIF(Schedule!$GI$5:$GI$15,"*TRN*")</f>
        <v>0</v>
      </c>
      <c r="I193" s="22">
        <v>11</v>
      </c>
    </row>
    <row r="194" spans="1:9" ht="15" customHeight="1" x14ac:dyDescent="0.25">
      <c r="A194" s="21">
        <v>46377</v>
      </c>
      <c r="B194" s="22" t="s">
        <v>166</v>
      </c>
      <c r="C194" s="22">
        <f>COUNTBLANK(Schedule!$GJ$5:$GJ$15)</f>
        <v>11</v>
      </c>
      <c r="D194" s="22">
        <f t="shared" si="5"/>
        <v>0</v>
      </c>
      <c r="E194" s="22">
        <f>COUNTIF(Schedule!$GJ$5:$GJ$15,"*VAC*")</f>
        <v>0</v>
      </c>
      <c r="F194" s="22">
        <f>COUNTIF(Schedule!$GJ$5:$GJ$15,"*HOL*")</f>
        <v>0</v>
      </c>
      <c r="G194" s="22">
        <f>COUNTIF(Schedule!$GJ$5:$GJ$15,"*SICK*")</f>
        <v>0</v>
      </c>
      <c r="H194" s="22">
        <f>COUNTIF(Schedule!$GJ$5:$GJ$15,"*TRN*")</f>
        <v>0</v>
      </c>
      <c r="I194" s="22">
        <v>11</v>
      </c>
    </row>
    <row r="195" spans="1:9" ht="15" customHeight="1" x14ac:dyDescent="0.25">
      <c r="A195" s="21">
        <v>46378</v>
      </c>
      <c r="B195" s="22" t="s">
        <v>167</v>
      </c>
      <c r="C195" s="22">
        <f>COUNTBLANK(Schedule!$GK$5:$GK$15)</f>
        <v>11</v>
      </c>
      <c r="D195" s="22">
        <f t="shared" si="5"/>
        <v>0</v>
      </c>
      <c r="E195" s="22">
        <f>COUNTIF(Schedule!$GK$5:$GK$15,"*VAC*")</f>
        <v>0</v>
      </c>
      <c r="F195" s="22">
        <f>COUNTIF(Schedule!$GK$5:$GK$15,"*HOL*")</f>
        <v>0</v>
      </c>
      <c r="G195" s="22">
        <f>COUNTIF(Schedule!$GK$5:$GK$15,"*SICK*")</f>
        <v>0</v>
      </c>
      <c r="H195" s="22">
        <f>COUNTIF(Schedule!$GK$5:$GK$15,"*TRN*")</f>
        <v>0</v>
      </c>
      <c r="I195" s="22">
        <v>11</v>
      </c>
    </row>
    <row r="196" spans="1:9" ht="15" customHeight="1" x14ac:dyDescent="0.25">
      <c r="A196" s="21">
        <v>46379</v>
      </c>
      <c r="B196" s="22" t="s">
        <v>168</v>
      </c>
      <c r="C196" s="22">
        <f>COUNTBLANK(Schedule!$GL$5:$GL$15)</f>
        <v>11</v>
      </c>
      <c r="D196" s="22">
        <f t="shared" si="5"/>
        <v>0</v>
      </c>
      <c r="E196" s="22">
        <f>COUNTIF(Schedule!$GL$5:$GL$15,"*VAC*")</f>
        <v>0</v>
      </c>
      <c r="F196" s="22">
        <f>COUNTIF(Schedule!$GL$5:$GL$15,"*HOL*")</f>
        <v>0</v>
      </c>
      <c r="G196" s="22">
        <f>COUNTIF(Schedule!$GL$5:$GL$15,"*SICK*")</f>
        <v>0</v>
      </c>
      <c r="H196" s="22">
        <f>COUNTIF(Schedule!$GL$5:$GL$15,"*TRN*")</f>
        <v>0</v>
      </c>
      <c r="I196" s="22">
        <v>11</v>
      </c>
    </row>
    <row r="197" spans="1:9" ht="15" customHeight="1" x14ac:dyDescent="0.25">
      <c r="A197" s="21">
        <v>46380</v>
      </c>
      <c r="B197" s="22" t="s">
        <v>167</v>
      </c>
      <c r="C197" s="22">
        <f>COUNTBLANK(Schedule!$GM$5:$GM$15)</f>
        <v>11</v>
      </c>
      <c r="D197" s="22">
        <f t="shared" ref="D197:D204" si="6">I197-C197-E197-F197-G197-H197</f>
        <v>0</v>
      </c>
      <c r="E197" s="22">
        <f>COUNTIF(Schedule!$GM$5:$GM$15,"*VAC*")</f>
        <v>0</v>
      </c>
      <c r="F197" s="22">
        <f>COUNTIF(Schedule!$GM$5:$GM$15,"*HOL*")</f>
        <v>0</v>
      </c>
      <c r="G197" s="22">
        <f>COUNTIF(Schedule!$GM$5:$GM$15,"*SICK*")</f>
        <v>0</v>
      </c>
      <c r="H197" s="22">
        <f>COUNTIF(Schedule!$GM$5:$GM$15,"*TRN*")</f>
        <v>0</v>
      </c>
      <c r="I197" s="22">
        <v>11</v>
      </c>
    </row>
    <row r="198" spans="1:9" ht="15" customHeight="1" x14ac:dyDescent="0.25">
      <c r="A198" s="21">
        <v>46381</v>
      </c>
      <c r="B198" s="22" t="s">
        <v>169</v>
      </c>
      <c r="C198" s="22">
        <f>COUNTBLANK(Schedule!$GN$5:$GN$15)</f>
        <v>0</v>
      </c>
      <c r="D198" s="22">
        <f t="shared" si="6"/>
        <v>0</v>
      </c>
      <c r="E198" s="22">
        <f>COUNTIF(Schedule!$GN$5:$GN$15,"*VAC*")</f>
        <v>0</v>
      </c>
      <c r="F198" s="22">
        <f>COUNTIF(Schedule!$GN$5:$GN$15,"*HOL*")</f>
        <v>11</v>
      </c>
      <c r="G198" s="22">
        <f>COUNTIF(Schedule!$GN$5:$GN$15,"*SICK*")</f>
        <v>0</v>
      </c>
      <c r="H198" s="22">
        <f>COUNTIF(Schedule!$GN$5:$GN$15,"*TRN*")</f>
        <v>0</v>
      </c>
      <c r="I198" s="22">
        <v>11</v>
      </c>
    </row>
    <row r="199" spans="1:9" ht="15" customHeight="1" x14ac:dyDescent="0.25">
      <c r="A199" s="21">
        <v>46382</v>
      </c>
      <c r="B199" s="22" t="s">
        <v>170</v>
      </c>
      <c r="C199" s="22">
        <f>COUNTBLANK(Schedule!$GO$5:$GO$15)</f>
        <v>11</v>
      </c>
      <c r="D199" s="22">
        <f t="shared" si="6"/>
        <v>0</v>
      </c>
      <c r="E199" s="22">
        <f>COUNTIF(Schedule!$GO$5:$GO$15,"*VAC*")</f>
        <v>0</v>
      </c>
      <c r="F199" s="22">
        <f>COUNTIF(Schedule!$GO$5:$GO$15,"*HOL*")</f>
        <v>0</v>
      </c>
      <c r="G199" s="22">
        <f>COUNTIF(Schedule!$GO$5:$GO$15,"*SICK*")</f>
        <v>0</v>
      </c>
      <c r="H199" s="22">
        <f>COUNTIF(Schedule!$GO$5:$GO$15,"*TRN*")</f>
        <v>0</v>
      </c>
      <c r="I199" s="22">
        <v>11</v>
      </c>
    </row>
    <row r="200" spans="1:9" ht="15" customHeight="1" x14ac:dyDescent="0.25">
      <c r="A200" s="21">
        <v>46383</v>
      </c>
      <c r="B200" s="22" t="s">
        <v>170</v>
      </c>
      <c r="C200" s="22">
        <f>COUNTBLANK(Schedule!$GP$5:$GP$15)</f>
        <v>11</v>
      </c>
      <c r="D200" s="22">
        <f t="shared" si="6"/>
        <v>0</v>
      </c>
      <c r="E200" s="22">
        <f>COUNTIF(Schedule!$GP$5:$GP$15,"*VAC*")</f>
        <v>0</v>
      </c>
      <c r="F200" s="22">
        <f>COUNTIF(Schedule!$GP$5:$GP$15,"*HOL*")</f>
        <v>0</v>
      </c>
      <c r="G200" s="22">
        <f>COUNTIF(Schedule!$GP$5:$GP$15,"*SICK*")</f>
        <v>0</v>
      </c>
      <c r="H200" s="22">
        <f>COUNTIF(Schedule!$GP$5:$GP$15,"*TRN*")</f>
        <v>0</v>
      </c>
      <c r="I200" s="22">
        <v>11</v>
      </c>
    </row>
    <row r="201" spans="1:9" ht="15" customHeight="1" x14ac:dyDescent="0.25">
      <c r="A201" s="21">
        <v>46384</v>
      </c>
      <c r="B201" s="22" t="s">
        <v>166</v>
      </c>
      <c r="C201" s="22">
        <f>COUNTBLANK(Schedule!$GQ$5:$GQ$15)</f>
        <v>11</v>
      </c>
      <c r="D201" s="22">
        <f t="shared" si="6"/>
        <v>0</v>
      </c>
      <c r="E201" s="22">
        <f>COUNTIF(Schedule!$GQ$5:$GQ$15,"*VAC*")</f>
        <v>0</v>
      </c>
      <c r="F201" s="22">
        <f>COUNTIF(Schedule!$GQ$5:$GQ$15,"*HOL*")</f>
        <v>0</v>
      </c>
      <c r="G201" s="22">
        <f>COUNTIF(Schedule!$GQ$5:$GQ$15,"*SICK*")</f>
        <v>0</v>
      </c>
      <c r="H201" s="22">
        <f>COUNTIF(Schedule!$GQ$5:$GQ$15,"*TRN*")</f>
        <v>0</v>
      </c>
      <c r="I201" s="22">
        <v>11</v>
      </c>
    </row>
    <row r="202" spans="1:9" ht="15" customHeight="1" x14ac:dyDescent="0.25">
      <c r="A202" s="21">
        <v>46385</v>
      </c>
      <c r="B202" s="22" t="s">
        <v>167</v>
      </c>
      <c r="C202" s="22">
        <f>COUNTBLANK(Schedule!$GR$5:$GR$15)</f>
        <v>11</v>
      </c>
      <c r="D202" s="22">
        <f t="shared" si="6"/>
        <v>0</v>
      </c>
      <c r="E202" s="22">
        <f>COUNTIF(Schedule!$GR$5:$GR$15,"*VAC*")</f>
        <v>0</v>
      </c>
      <c r="F202" s="22">
        <f>COUNTIF(Schedule!$GR$5:$GR$15,"*HOL*")</f>
        <v>0</v>
      </c>
      <c r="G202" s="22">
        <f>COUNTIF(Schedule!$GR$5:$GR$15,"*SICK*")</f>
        <v>0</v>
      </c>
      <c r="H202" s="22">
        <f>COUNTIF(Schedule!$GR$5:$GR$15,"*TRN*")</f>
        <v>0</v>
      </c>
      <c r="I202" s="22">
        <v>11</v>
      </c>
    </row>
    <row r="203" spans="1:9" ht="15" customHeight="1" x14ac:dyDescent="0.25">
      <c r="A203" s="21">
        <v>46386</v>
      </c>
      <c r="B203" s="22" t="s">
        <v>168</v>
      </c>
      <c r="C203" s="22">
        <f>COUNTBLANK(Schedule!$GS$5:$GS$15)</f>
        <v>11</v>
      </c>
      <c r="D203" s="22">
        <f t="shared" si="6"/>
        <v>0</v>
      </c>
      <c r="E203" s="22">
        <f>COUNTIF(Schedule!$GS$5:$GS$15,"*VAC*")</f>
        <v>0</v>
      </c>
      <c r="F203" s="22">
        <f>COUNTIF(Schedule!$GS$5:$GS$15,"*HOL*")</f>
        <v>0</v>
      </c>
      <c r="G203" s="22">
        <f>COUNTIF(Schedule!$GS$5:$GS$15,"*SICK*")</f>
        <v>0</v>
      </c>
      <c r="H203" s="22">
        <f>COUNTIF(Schedule!$GS$5:$GS$15,"*TRN*")</f>
        <v>0</v>
      </c>
      <c r="I203" s="22">
        <v>11</v>
      </c>
    </row>
    <row r="204" spans="1:9" ht="15" customHeight="1" x14ac:dyDescent="0.25">
      <c r="A204" s="21">
        <v>46387</v>
      </c>
      <c r="B204" s="22" t="s">
        <v>167</v>
      </c>
      <c r="C204" s="22">
        <f>COUNTBLANK(Schedule!$GT$5:$GT$15)</f>
        <v>11</v>
      </c>
      <c r="D204" s="22">
        <f t="shared" si="6"/>
        <v>0</v>
      </c>
      <c r="E204" s="22">
        <f>COUNTIF(Schedule!$GT$5:$GT$15,"*VAC*")</f>
        <v>0</v>
      </c>
      <c r="F204" s="22">
        <f>COUNTIF(Schedule!$GT$5:$GT$15,"*HOL*")</f>
        <v>0</v>
      </c>
      <c r="G204" s="22">
        <f>COUNTIF(Schedule!$GT$5:$GT$15,"*SICK*")</f>
        <v>0</v>
      </c>
      <c r="H204" s="22">
        <f>COUNTIF(Schedule!$GT$5:$GT$15,"*TRN*")</f>
        <v>0</v>
      </c>
      <c r="I204" s="22">
        <v>11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7dc1bcf-ef74-4cdb-b092-2638f05e43a7" xsi:nil="true"/>
    <lcf76f155ced4ddcb4097134ff3c332f xmlns="913015cf-80f0-4271-bd99-cd903a3228f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AD0828CB952B4F8A39E46B2672A1DA" ma:contentTypeVersion="18" ma:contentTypeDescription="Create a new document." ma:contentTypeScope="" ma:versionID="30cb434e0be8449726f7157ddbeb6ab8">
  <xsd:schema xmlns:xsd="http://www.w3.org/2001/XMLSchema" xmlns:xs="http://www.w3.org/2001/XMLSchema" xmlns:p="http://schemas.microsoft.com/office/2006/metadata/properties" xmlns:ns2="913015cf-80f0-4271-bd99-cd903a3228f1" xmlns:ns3="47dc1bcf-ef74-4cdb-b092-2638f05e43a7" targetNamespace="http://schemas.microsoft.com/office/2006/metadata/properties" ma:root="true" ma:fieldsID="ecadd625ebb8d4e52b0882833dc4e3fb" ns2:_="" ns3:_="">
    <xsd:import namespace="913015cf-80f0-4271-bd99-cd903a3228f1"/>
    <xsd:import namespace="47dc1bcf-ef74-4cdb-b092-2638f05e43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015cf-80f0-4271-bd99-cd903a3228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5faea72a-4349-45cf-9e9d-a47cfa5708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dc1bcf-ef74-4cdb-b092-2638f05e43a7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9c2f5600-c8c9-44ad-942a-46dec7108ac4}" ma:internalName="TaxCatchAll" ma:showField="CatchAllData" ma:web="47dc1bcf-ef74-4cdb-b092-2638f05e43a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D7A6CFD-E58D-4DB3-80CE-9FCC8DE1B173}">
  <ds:schemaRefs>
    <ds:schemaRef ds:uri="913015cf-80f0-4271-bd99-cd903a3228f1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47dc1bcf-ef74-4cdb-b092-2638f05e43a7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56BC294-4C0E-4FDA-91CF-FDC34F322E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3015cf-80f0-4271-bd99-cd903a3228f1"/>
    <ds:schemaRef ds:uri="47dc1bcf-ef74-4cdb-b092-2638f05e43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9047C40-290D-4B62-8D1B-436C7ED859E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Employees</vt:lpstr>
      <vt:lpstr>Projects</vt:lpstr>
      <vt:lpstr>Dropdown List (Hidden)</vt:lpstr>
      <vt:lpstr>Schedule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Bruce Spencer</cp:lastModifiedBy>
  <cp:revision>0</cp:revision>
  <dcterms:created xsi:type="dcterms:W3CDTF">2026-06-16T16:02:49Z</dcterms:created>
  <dcterms:modified xsi:type="dcterms:W3CDTF">2026-06-22T12:46:24Z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0x010100D6AD0828CB952B4F8A39E46B2672A1DA</vt:lpwstr>
  </property>
  <property fmtid="{D5CDD505-2E9C-101B-9397-08002B2CF9AE}" pid="3" name="MediaServiceImageTags">
    <vt:lpwstr/>
  </property>
</Properties>
</file>